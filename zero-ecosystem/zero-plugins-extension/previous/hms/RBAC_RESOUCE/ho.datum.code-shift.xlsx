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cab/"/>
    </mc:Choice>
  </mc:AlternateContent>
  <xr:revisionPtr revIDLastSave="0" documentId="13_ncr:1_{CD57D0EC-08D3-4B41-A0F9-79DF43A92192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2" l="1"/>
  <c r="B43" i="2" l="1"/>
  <c r="C40" i="2" l="1"/>
  <c r="C39" i="2"/>
  <c r="C38" i="2"/>
  <c r="C37" i="2"/>
  <c r="C36" i="2"/>
  <c r="C35" i="2"/>
  <c r="C32" i="2"/>
  <c r="C34" i="2"/>
  <c r="C31" i="2"/>
  <c r="C30" i="2"/>
  <c r="C29" i="2"/>
  <c r="C42" i="2"/>
  <c r="C41" i="2"/>
  <c r="C33" i="2"/>
  <c r="B42" i="2" l="1"/>
  <c r="B41" i="2"/>
  <c r="B40" i="2"/>
  <c r="B39" i="2"/>
  <c r="B38" i="2"/>
  <c r="B37" i="2"/>
  <c r="B36" i="2"/>
  <c r="B35" i="2"/>
  <c r="B34" i="2"/>
  <c r="B33" i="2"/>
  <c r="B32" i="2"/>
  <c r="B31" i="2"/>
  <c r="B30" i="2"/>
  <c r="B29" i="2"/>
</calcChain>
</file>

<file path=xl/sharedStrings.xml><?xml version="1.0" encoding="utf-8"?>
<sst xmlns="http://schemas.openxmlformats.org/spreadsheetml/2006/main" count="284" uniqueCount="191">
  <si>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</si>
  <si>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</si>
  <si>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</si>
  <si>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</si>
  <si>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</si>
  <si>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</si>
  <si>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</si>
  <si>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</si>
  <si>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</si>
  <si>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</si>
  <si>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</si>
  <si>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</si>
  <si>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</si>
  <si>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</si>
  <si>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</si>
  <si>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</si>
  <si>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</si>
  <si>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</si>
  <si>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</si>
  <si>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</si>
  <si>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</si>
  <si>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</si>
  <si>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</si>
  <si>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</si>
  <si>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</si>
  <si>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</si>
  <si>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</si>
  <si>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</si>
  <si>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</si>
  <si>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</t>
  </si>
  <si>
    <t>POST</t>
  </si>
  <si>
    <t>添加</t>
  </si>
  <si>
    <t>PUT</t>
  </si>
  <si>
    <t>编辑</t>
  </si>
  <si>
    <t>DELETE</t>
  </si>
  <si>
    <t>删除</t>
  </si>
  <si>
    <t>搜索</t>
  </si>
  <si>
    <t>批量编辑</t>
  </si>
  <si>
    <t>批量删除</t>
  </si>
  <si>
    <t>读全列</t>
  </si>
  <si>
    <t>读视图</t>
  </si>
  <si>
    <t>更新视图</t>
  </si>
  <si>
    <t>导入</t>
  </si>
  <si>
    <t>导出</t>
  </si>
  <si>
    <t>存在</t>
  </si>
  <si>
    <t>丢失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</si>
  <si>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</si>
  <si>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</si>
  <si>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</si>
  <si>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</si>
  <si>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</si>
  <si>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</si>
  <si>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</si>
  <si>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</si>
  <si>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</si>
  <si>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modelTree</t>
  </si>
  <si>
    <t>UNION</t>
  </si>
  <si>
    <t>班别码读取</t>
  </si>
  <si>
    <t>班别码读取、列表、搜索</t>
  </si>
  <si>
    <t>班别码添加</t>
  </si>
  <si>
    <t>班别码添加、集成添加</t>
  </si>
  <si>
    <t>班别码更新</t>
  </si>
  <si>
    <t>班别码编辑、审批、集成更新</t>
  </si>
  <si>
    <t>班别码删除</t>
  </si>
  <si>
    <t>班别码列变更</t>
  </si>
  <si>
    <t>班别码列管理</t>
  </si>
  <si>
    <t>班别码导入/导出</t>
  </si>
  <si>
    <t>班别码列导入/导出</t>
  </si>
  <si>
    <t>读取班别码</t>
  </si>
  <si>
    <t>添加班别码</t>
  </si>
  <si>
    <t>编辑班别码</t>
  </si>
  <si>
    <t>删除班别码</t>
  </si>
  <si>
    <t>搜索班别码</t>
  </si>
  <si>
    <t>批量编辑班别码</t>
  </si>
  <si>
    <t>批量删除班别码</t>
  </si>
  <si>
    <t>读取班别码全列</t>
  </si>
  <si>
    <t>读取班别码个人视图</t>
  </si>
  <si>
    <t>更新班别码个人视图</t>
  </si>
  <si>
    <t>导入班别码</t>
  </si>
  <si>
    <t>导出班别码</t>
  </si>
  <si>
    <t>检查存在班别码</t>
  </si>
  <si>
    <t>检查丢失班别码</t>
  </si>
  <si>
    <t>perm.code-shift.read</t>
  </si>
  <si>
    <t>perm.code-shift.add</t>
  </si>
  <si>
    <t>perm.code-shift.edit</t>
  </si>
  <si>
    <t>perm.code-shift.delete</t>
  </si>
  <si>
    <t>perm.code-shift.column</t>
  </si>
  <si>
    <t>perm.code-shift.imp.exp</t>
  </si>
  <si>
    <t>act.code-shift.read</t>
  </si>
  <si>
    <t>act.code-shift.add</t>
  </si>
  <si>
    <t>act.code-shift.edit</t>
  </si>
  <si>
    <t>act.code-shift.delete</t>
  </si>
  <si>
    <t>act.code-shift.search</t>
  </si>
  <si>
    <t>act.code-shift.batch.edit</t>
  </si>
  <si>
    <t>act.code-shift.batch.delete</t>
  </si>
  <si>
    <t>act.code-shift.column.full</t>
  </si>
  <si>
    <t>act.code-shift.column.get</t>
  </si>
  <si>
    <t>act.code-shift.column.edit</t>
  </si>
  <si>
    <t>act.code-shift.import</t>
  </si>
  <si>
    <t>act.code-shift.export</t>
  </si>
  <si>
    <t>act.code-shift.existing</t>
  </si>
  <si>
    <t>act.code-shift.missing</t>
  </si>
  <si>
    <t>res.code-shift.read</t>
  </si>
  <si>
    <t>res.code-shift.add</t>
  </si>
  <si>
    <t>res.code-shift.edit</t>
  </si>
  <si>
    <t>res.code-shift.delete</t>
  </si>
  <si>
    <t>res.code-shift.search</t>
  </si>
  <si>
    <t>res.code-shift.batch.update</t>
  </si>
  <si>
    <t>res.code-shift.batch.delete</t>
  </si>
  <si>
    <t>res.code-shift.column.full</t>
  </si>
  <si>
    <t>res.code-shift.column.my</t>
  </si>
  <si>
    <t>res.code-shift.column.edit</t>
  </si>
  <si>
    <t>res.code-shift.import</t>
  </si>
  <si>
    <t>res.code-shift.export</t>
  </si>
  <si>
    <t>res.code-shift.existing</t>
  </si>
  <si>
    <t>res.code-shift.missing</t>
  </si>
  <si>
    <t>/api/code-shift/:key</t>
  </si>
  <si>
    <t>/api/code-shift</t>
  </si>
  <si>
    <t>/api/code-shift/search</t>
  </si>
  <si>
    <t>/api/batch/code-shift/update</t>
  </si>
  <si>
    <t>/api/batch/code-shift/delete</t>
  </si>
  <si>
    <t>/api/columns/code-shift/full</t>
  </si>
  <si>
    <t>/api/columns/code-shift/my</t>
  </si>
  <si>
    <t>/api/code-shift/import</t>
  </si>
  <si>
    <t>/api/code-shift/export</t>
  </si>
  <si>
    <t>/api/code-shift/existing</t>
  </si>
  <si>
    <t>/api/code-shift/missing</t>
  </si>
  <si>
    <t>82bff4d9-0822-4031-9b07-8720afcdf465</t>
  </si>
  <si>
    <t>8dad4f22-0951-4197-b2fe-11d3debedb6d</t>
  </si>
  <si>
    <t>d89c478c-be92-4d3a-b3c0-e5547b90796c</t>
  </si>
  <si>
    <t>d44470fd-8947-407f-adc7-6776f8238c4c</t>
  </si>
  <si>
    <t>92d9c5dc-6575-4f9b-b295-20ed578ec435</t>
  </si>
  <si>
    <t>33db8c0e-331b-4a46-98c7-f3d016409958</t>
  </si>
  <si>
    <t>5ba9c17d-1ba9-4c02-942a-b033e358f6e7</t>
  </si>
  <si>
    <t>fa173c66-41df-47bf-90cc-8202ad733e8d</t>
  </si>
  <si>
    <t>fe36e5ae-5cfa-4adb-b279-644787ec3e30</t>
  </si>
  <si>
    <t>23e2438a-7291-4897-8031-b36a8a9a1050</t>
  </si>
  <si>
    <t>f6f68986-b30d-4f1f-86d2-8b43aec738cc</t>
  </si>
  <si>
    <t>a0bd20cb-a787-4888-b873-559214b78533</t>
  </si>
  <si>
    <t>47e3f0ad-7a53-4ff1-a73d-6ff6a7ba9432</t>
  </si>
  <si>
    <t>04b72078-5840-4bc7-afc5-87237a14f1f6</t>
  </si>
  <si>
    <t>7f405f5d-ed5b-481a-b929-e6f1fa8e1bb4</t>
  </si>
  <si>
    <t>17b07266-5169-4b52-ba7f-3189d7991799</t>
  </si>
  <si>
    <t>70410fe4-3d70-46f8-969b-7c41ed62df66</t>
  </si>
  <si>
    <t>f24a3a77-2596-4c19-8161-6ed8b7cb4b47</t>
  </si>
  <si>
    <t>4a8c62d4-399d-40dc-bb93-7342b24789a9</t>
  </si>
  <si>
    <t>91ab05c5-76d8-415e-b9e8-7405879c27e2</t>
  </si>
  <si>
    <t>cabbb309-03b8-4d90-ba3c-27af125b043c</t>
  </si>
  <si>
    <t>70344561-1a40-474f-a5b3-19550ef4d862</t>
  </si>
  <si>
    <t>9bf288c4-eef6-4982-a450-da251e89faa8</t>
  </si>
  <si>
    <t>77df3451-f8df-4096-93aa-eb39e7c1c174</t>
  </si>
  <si>
    <t>5d330679-4bc6-49d9-9528-ed5802d03aa5</t>
  </si>
  <si>
    <t>8c153612-43b1-427b-8d94-5ddd347c8f74</t>
  </si>
  <si>
    <t>6191625d-bd72-4093-977a-fb9e1f6c258c</t>
  </si>
  <si>
    <t>3d75061a-bff7-466d-92a8-f8f814fcbbb8</t>
  </si>
  <si>
    <t>156c36e1-4e0a-40d2-8518-fa0198b65a85</t>
  </si>
  <si>
    <t>cb424aa6-bf99-43a3-ba14-a83b2efd6a95</t>
  </si>
  <si>
    <t>79480aef-114d-4716-b722-7f21127f587a</t>
  </si>
  <si>
    <t>eccde042-6f00-45ad-b3d1-c444979a1680</t>
  </si>
  <si>
    <t>d1e2cc06-809d-4313-a726-35233b70115e</t>
  </si>
  <si>
    <t>d5ac5293-5d8b-4980-8161-1891a7cc3c27</t>
  </si>
  <si>
    <t>读取所有</t>
  </si>
  <si>
    <t>act.code-shift.by.sigma</t>
  </si>
  <si>
    <t>/api/code-shift/by/sigma</t>
  </si>
  <si>
    <t>01a6d6d0-a5fc-43b8-9c56-33be1d19b968</t>
  </si>
  <si>
    <t>res.code-shift.by.sigma</t>
  </si>
  <si>
    <t>读取所有班别码</t>
  </si>
  <si>
    <t>776c6f2c-50fb-4716-9c21-0d378c560315</t>
  </si>
  <si>
    <t>modelGroup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</si>
  <si>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</si>
  <si>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</si>
  <si>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</si>
  <si>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</si>
  <si>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resource.basic</t>
    <phoneticPr fontId="1" type="noConversion"/>
  </si>
  <si>
    <t>datum.code-shift</t>
    <phoneticPr fontId="1" type="noConversion"/>
  </si>
  <si>
    <t>S_PERM_SET</t>
    <phoneticPr fontId="1" type="noConversion"/>
  </si>
  <si>
    <t>权限集主键</t>
    <phoneticPr fontId="8" type="noConversion"/>
  </si>
  <si>
    <t>权限代码</t>
    <phoneticPr fontId="8" type="noConversion"/>
  </si>
  <si>
    <t>权限集名称</t>
    <phoneticPr fontId="8" type="noConversion"/>
  </si>
  <si>
    <t>权限集类型</t>
    <phoneticPr fontId="8" type="noConversion"/>
  </si>
  <si>
    <t>code</t>
    <phoneticPr fontId="8" type="noConversion"/>
  </si>
  <si>
    <t>name</t>
    <phoneticPr fontId="8" type="noConversion"/>
  </si>
  <si>
    <t>type</t>
    <phoneticPr fontId="8" type="noConversion"/>
  </si>
  <si>
    <t>f33a9013-1d9d-449b-ac63-cb6eb63ebf3f</t>
  </si>
  <si>
    <t>业务码/班别码</t>
    <phoneticPr fontId="8" type="noConversion"/>
  </si>
  <si>
    <t>酒店数据权限</t>
    <phoneticPr fontId="8" type="noConversion"/>
  </si>
  <si>
    <t>48ba2b6f-2628-49a9-8660-3991b9454138</t>
  </si>
  <si>
    <t>449a1456-64c9-4881-9c18-ae6923a9eba1</t>
  </si>
  <si>
    <t>61531e28-8bbc-440f-8619-e83f13f72f39</t>
  </si>
  <si>
    <t>48f5a894-75b2-4ec0-abdc-50a5bf535f1a</t>
  </si>
  <si>
    <t>456be5e4-c290-40dd-8281-55d6f1171a71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</si>
</sst>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1" xfId="0" applyFont="1" applyFill="1" applyBorder="1"/>
    <xf numFmtId="0" fontId="7" fillId="0" borderId="0" xfId="0" applyFont="1"/>
    <xf numFmtId="0" fontId="7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/>
    <xf numFmtId="0" fontId="9" fillId="0" borderId="1" xfId="0" applyFont="1" applyBorder="1"/>
    <xf numFmtId="0" fontId="9" fillId="6" borderId="1" xfId="0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65"/>
  <sheetViews>
    <sheetView tabSelected="1" topLeftCell="A30" workbookViewId="0">
      <selection activeCell="A66" sqref="A66:XFD68"/>
    </sheetView>
  </sheetViews>
  <sheetFormatPr baseColWidth="10" defaultColWidth="11" defaultRowHeight="21"/>
  <cols>
    <col min="1" max="2" width="55.1640625" style="2" bestFit="1" customWidth="1"/>
    <col min="3" max="3" width="54.83203125" style="2" bestFit="1" customWidth="1"/>
    <col min="4" max="4" width="36" style="3" bestFit="1" customWidth="1"/>
    <col min="5" max="5" width="22.83203125" style="3" bestFit="1" customWidth="1"/>
    <col min="6" max="6" width="38.33203125" style="3" bestFit="1" customWidth="1"/>
    <col min="7" max="7" width="12.6640625" style="4" bestFit="1" customWidth="1"/>
    <col min="8" max="8" width="16.83203125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16.5" style="2" bestFit="1" customWidth="1"/>
    <col min="13" max="16384" width="11" style="2"/>
  </cols>
  <sheetData>
    <row r="1" spans="1:7">
      <c r="A1" s="1"/>
    </row>
    <row r="2" spans="1:7" s="30" customFormat="1">
      <c r="A2" s="25" t="s">
        <v>1</v>
      </c>
      <c r="B2" s="26" t="s">
        <v>175</v>
      </c>
      <c r="C2" s="27"/>
      <c r="D2" s="28"/>
      <c r="E2" s="29"/>
      <c r="F2" s="29"/>
      <c r="G2" s="29"/>
    </row>
    <row r="3" spans="1:7" s="30" customFormat="1">
      <c r="A3" s="31" t="s">
        <v>176</v>
      </c>
      <c r="B3" s="31" t="s">
        <v>177</v>
      </c>
      <c r="C3" s="31" t="s">
        <v>178</v>
      </c>
      <c r="D3" s="31" t="s">
        <v>179</v>
      </c>
    </row>
    <row r="4" spans="1:7" s="30" customFormat="1">
      <c r="A4" s="32" t="s">
        <v>0</v>
      </c>
      <c r="B4" s="32" t="s">
        <v>180</v>
      </c>
      <c r="C4" s="32" t="s">
        <v>181</v>
      </c>
      <c r="D4" s="32" t="s">
        <v>182</v>
      </c>
    </row>
    <row r="5" spans="1:7" s="30" customFormat="1">
      <c r="A5" s="13" t="s">
        <v>183</v>
      </c>
      <c r="B5" s="33" t="s">
        <v>82</v>
      </c>
      <c r="C5" s="34" t="s">
        <v>184</v>
      </c>
      <c r="D5" s="35" t="s">
        <v>185</v>
      </c>
    </row>
    <row r="6" spans="1:7" s="30" customFormat="1">
      <c r="A6" s="13" t="s">
        <v>186</v>
      </c>
      <c r="B6" s="33" t="s">
        <v>83</v>
      </c>
      <c r="C6" s="34" t="s">
        <v>184</v>
      </c>
      <c r="D6" s="35" t="s">
        <v>185</v>
      </c>
    </row>
    <row r="7" spans="1:7" s="30" customFormat="1">
      <c r="A7" s="13" t="s">
        <v>187</v>
      </c>
      <c r="B7" s="33" t="s">
        <v>84</v>
      </c>
      <c r="C7" s="34" t="s">
        <v>184</v>
      </c>
      <c r="D7" s="35" t="s">
        <v>185</v>
      </c>
    </row>
    <row r="8" spans="1:7" s="30" customFormat="1">
      <c r="A8" s="13" t="s">
        <v>188</v>
      </c>
      <c r="B8" s="33" t="s">
        <v>85</v>
      </c>
      <c r="C8" s="34" t="s">
        <v>184</v>
      </c>
      <c r="D8" s="35" t="s">
        <v>185</v>
      </c>
    </row>
    <row r="9" spans="1:7" s="30" customFormat="1">
      <c r="A9" s="13" t="s">
        <v>189</v>
      </c>
      <c r="B9" s="33" t="s">
        <v>86</v>
      </c>
      <c r="C9" s="34" t="s">
        <v>184</v>
      </c>
      <c r="D9" s="35" t="s">
        <v>185</v>
      </c>
    </row>
    <row r="10" spans="1:7" s="30" customFormat="1">
      <c r="A10" s="13" t="s">
        <v>190</v>
      </c>
      <c r="B10" s="33" t="s">
        <v>87</v>
      </c>
      <c r="C10" s="34" t="s">
        <v>184</v>
      </c>
      <c r="D10" s="35" t="s">
        <v>185</v>
      </c>
    </row>
    <row r="11" spans="1:7">
      <c r="A11" s="5"/>
    </row>
    <row r="13" spans="1:7">
      <c r="A13" s="6" t="s">
        <v>1</v>
      </c>
      <c r="B13" s="7" t="s">
        <v>4</v>
      </c>
      <c r="C13" s="21" t="s">
        <v>5</v>
      </c>
      <c r="D13" s="22"/>
      <c r="E13" s="22"/>
      <c r="F13" s="2"/>
      <c r="G13" s="2"/>
    </row>
    <row r="14" spans="1:7">
      <c r="A14" s="8" t="s">
        <v>6</v>
      </c>
      <c r="B14" s="8" t="s">
        <v>7</v>
      </c>
      <c r="C14" s="9" t="s">
        <v>9</v>
      </c>
      <c r="D14" s="8" t="s">
        <v>8</v>
      </c>
      <c r="E14" s="8" t="s">
        <v>169</v>
      </c>
      <c r="F14" s="2"/>
      <c r="G14" s="2"/>
    </row>
    <row r="15" spans="1:7">
      <c r="A15" s="10" t="s">
        <v>0</v>
      </c>
      <c r="B15" s="10" t="s">
        <v>3</v>
      </c>
      <c r="C15" s="11" t="s">
        <v>10</v>
      </c>
      <c r="D15" s="10" t="s">
        <v>2</v>
      </c>
      <c r="E15" s="12" t="s">
        <v>170</v>
      </c>
      <c r="F15" s="2"/>
      <c r="G15" s="2"/>
    </row>
    <row r="16" spans="1:7">
      <c r="A16" s="13" t="s">
        <v>127</v>
      </c>
      <c r="B16" s="15" t="s">
        <v>57</v>
      </c>
      <c r="C16" s="16" t="s">
        <v>58</v>
      </c>
      <c r="D16" s="14" t="s">
        <v>82</v>
      </c>
      <c r="E16" s="15" t="s">
        <v>174</v>
      </c>
      <c r="F16" s="2"/>
      <c r="G16" s="2"/>
    </row>
    <row r="17" spans="1:9">
      <c r="A17" s="13" t="s">
        <v>128</v>
      </c>
      <c r="B17" s="15" t="s">
        <v>59</v>
      </c>
      <c r="C17" s="16" t="s">
        <v>60</v>
      </c>
      <c r="D17" s="14" t="s">
        <v>83</v>
      </c>
      <c r="E17" s="15" t="s">
        <v>174</v>
      </c>
      <c r="F17" s="2"/>
      <c r="G17" s="2"/>
    </row>
    <row r="18" spans="1:9">
      <c r="A18" s="13" t="s">
        <v>129</v>
      </c>
      <c r="B18" s="15" t="s">
        <v>61</v>
      </c>
      <c r="C18" s="16" t="s">
        <v>62</v>
      </c>
      <c r="D18" s="14" t="s">
        <v>84</v>
      </c>
      <c r="E18" s="15" t="s">
        <v>174</v>
      </c>
      <c r="F18" s="2"/>
      <c r="G18" s="2"/>
    </row>
    <row r="19" spans="1:9">
      <c r="A19" s="13" t="s">
        <v>130</v>
      </c>
      <c r="B19" s="15" t="s">
        <v>63</v>
      </c>
      <c r="C19" s="16" t="s">
        <v>63</v>
      </c>
      <c r="D19" s="14" t="s">
        <v>85</v>
      </c>
      <c r="E19" s="15" t="s">
        <v>174</v>
      </c>
      <c r="F19" s="2"/>
      <c r="G19" s="2"/>
    </row>
    <row r="20" spans="1:9">
      <c r="A20" s="13" t="s">
        <v>131</v>
      </c>
      <c r="B20" s="15" t="s">
        <v>64</v>
      </c>
      <c r="C20" s="16" t="s">
        <v>65</v>
      </c>
      <c r="D20" s="14" t="s">
        <v>86</v>
      </c>
      <c r="E20" s="15" t="s">
        <v>174</v>
      </c>
      <c r="F20" s="2"/>
      <c r="G20" s="2"/>
    </row>
    <row r="21" spans="1:9">
      <c r="A21" s="13" t="s">
        <v>132</v>
      </c>
      <c r="B21" s="15" t="s">
        <v>66</v>
      </c>
      <c r="C21" s="16" t="s">
        <v>67</v>
      </c>
      <c r="D21" s="14" t="s">
        <v>87</v>
      </c>
      <c r="E21" s="15" t="s">
        <v>174</v>
      </c>
      <c r="F21" s="2"/>
      <c r="G21" s="2"/>
    </row>
    <row r="26" spans="1:9">
      <c r="A26" s="6" t="s">
        <v>1</v>
      </c>
      <c r="B26" s="7" t="s">
        <v>11</v>
      </c>
      <c r="C26" s="23" t="s">
        <v>12</v>
      </c>
      <c r="D26" s="24"/>
      <c r="E26" s="24"/>
      <c r="F26" s="24"/>
      <c r="G26" s="24"/>
      <c r="H26" s="24"/>
      <c r="I26" s="24"/>
    </row>
    <row r="27" spans="1:9">
      <c r="A27" s="8" t="s">
        <v>13</v>
      </c>
      <c r="B27" s="8" t="s">
        <v>18</v>
      </c>
      <c r="C27" s="8" t="s">
        <v>19</v>
      </c>
      <c r="D27" s="8" t="s">
        <v>16</v>
      </c>
      <c r="E27" s="8" t="s">
        <v>15</v>
      </c>
      <c r="F27" s="8" t="s">
        <v>14</v>
      </c>
      <c r="G27" s="8" t="s">
        <v>17</v>
      </c>
      <c r="H27" s="8" t="s">
        <v>20</v>
      </c>
      <c r="I27" s="8" t="s">
        <v>21</v>
      </c>
    </row>
    <row r="28" spans="1:9">
      <c r="A28" s="10" t="s">
        <v>0</v>
      </c>
      <c r="B28" s="10" t="s">
        <v>24</v>
      </c>
      <c r="C28" s="10" t="s">
        <v>25</v>
      </c>
      <c r="D28" s="19" t="s">
        <v>2</v>
      </c>
      <c r="E28" s="10" t="s">
        <v>23</v>
      </c>
      <c r="F28" s="19" t="s">
        <v>22</v>
      </c>
      <c r="G28" s="10" t="s">
        <v>3</v>
      </c>
      <c r="H28" s="10" t="s">
        <v>26</v>
      </c>
      <c r="I28" s="10" t="s">
        <v>27</v>
      </c>
    </row>
    <row r="29" spans="1:9">
      <c r="A29" s="13" t="s">
        <v>133</v>
      </c>
      <c r="B29" s="18" t="str">
        <f t="shared" ref="B29:B43" si="0">A49</f>
        <v>cabbb309-03b8-4d90-ba3c-27af125b043c</v>
      </c>
      <c r="C29" s="18" t="str">
        <f>A16</f>
        <v>82bff4d9-0822-4031-9b07-8720afcdf465</v>
      </c>
      <c r="D29" s="16" t="s">
        <v>88</v>
      </c>
      <c r="E29" s="15" t="s">
        <v>28</v>
      </c>
      <c r="F29" s="16" t="s">
        <v>116</v>
      </c>
      <c r="G29" s="15" t="s">
        <v>29</v>
      </c>
      <c r="H29" s="15">
        <v>1</v>
      </c>
      <c r="I29" s="15"/>
    </row>
    <row r="30" spans="1:9">
      <c r="A30" s="13" t="s">
        <v>134</v>
      </c>
      <c r="B30" s="18" t="str">
        <f t="shared" si="0"/>
        <v>70344561-1a40-474f-a5b3-19550ef4d862</v>
      </c>
      <c r="C30" s="18" t="str">
        <f>A17</f>
        <v>8dad4f22-0951-4197-b2fe-11d3debedb6d</v>
      </c>
      <c r="D30" s="16" t="s">
        <v>89</v>
      </c>
      <c r="E30" s="15" t="s">
        <v>30</v>
      </c>
      <c r="F30" s="16" t="s">
        <v>117</v>
      </c>
      <c r="G30" s="15" t="s">
        <v>31</v>
      </c>
      <c r="H30" s="15">
        <v>4</v>
      </c>
      <c r="I30" s="15"/>
    </row>
    <row r="31" spans="1:9">
      <c r="A31" s="13" t="s">
        <v>135</v>
      </c>
      <c r="B31" s="18" t="str">
        <f t="shared" si="0"/>
        <v>9bf288c4-eef6-4982-a450-da251e89faa8</v>
      </c>
      <c r="C31" s="18" t="str">
        <f>A18</f>
        <v>d89c478c-be92-4d3a-b3c0-e5547b90796c</v>
      </c>
      <c r="D31" s="16" t="s">
        <v>90</v>
      </c>
      <c r="E31" s="15" t="s">
        <v>32</v>
      </c>
      <c r="F31" s="16" t="s">
        <v>116</v>
      </c>
      <c r="G31" s="15" t="s">
        <v>33</v>
      </c>
      <c r="H31" s="15">
        <v>8</v>
      </c>
      <c r="I31" s="15"/>
    </row>
    <row r="32" spans="1:9">
      <c r="A32" s="17" t="s">
        <v>136</v>
      </c>
      <c r="B32" s="18" t="str">
        <f t="shared" si="0"/>
        <v>77df3451-f8df-4096-93aa-eb39e7c1c174</v>
      </c>
      <c r="C32" s="18" t="str">
        <f>A19</f>
        <v>d44470fd-8947-407f-adc7-6776f8238c4c</v>
      </c>
      <c r="D32" s="16" t="s">
        <v>91</v>
      </c>
      <c r="E32" s="15" t="s">
        <v>34</v>
      </c>
      <c r="F32" s="16" t="s">
        <v>116</v>
      </c>
      <c r="G32" s="15" t="s">
        <v>35</v>
      </c>
      <c r="H32" s="15">
        <v>12</v>
      </c>
      <c r="I32" s="15"/>
    </row>
    <row r="33" spans="1:11">
      <c r="A33" s="13" t="s">
        <v>137</v>
      </c>
      <c r="B33" s="18" t="str">
        <f t="shared" si="0"/>
        <v>5d330679-4bc6-49d9-9528-ed5802d03aa5</v>
      </c>
      <c r="C33" s="18" t="str">
        <f>A16</f>
        <v>82bff4d9-0822-4031-9b07-8720afcdf465</v>
      </c>
      <c r="D33" s="16" t="s">
        <v>92</v>
      </c>
      <c r="E33" s="15" t="s">
        <v>30</v>
      </c>
      <c r="F33" s="16" t="s">
        <v>118</v>
      </c>
      <c r="G33" s="15" t="s">
        <v>36</v>
      </c>
      <c r="H33" s="15">
        <v>1</v>
      </c>
      <c r="I33" s="15"/>
    </row>
    <row r="34" spans="1:11">
      <c r="A34" s="13" t="s">
        <v>138</v>
      </c>
      <c r="B34" s="18" t="str">
        <f t="shared" si="0"/>
        <v>8c153612-43b1-427b-8d94-5ddd347c8f74</v>
      </c>
      <c r="C34" s="18" t="str">
        <f>A18</f>
        <v>d89c478c-be92-4d3a-b3c0-e5547b90796c</v>
      </c>
      <c r="D34" s="16" t="s">
        <v>93</v>
      </c>
      <c r="E34" s="15" t="s">
        <v>32</v>
      </c>
      <c r="F34" s="16" t="s">
        <v>119</v>
      </c>
      <c r="G34" s="15" t="s">
        <v>37</v>
      </c>
      <c r="H34" s="15">
        <v>8</v>
      </c>
      <c r="I34" s="15"/>
    </row>
    <row r="35" spans="1:11">
      <c r="A35" s="13" t="s">
        <v>139</v>
      </c>
      <c r="B35" s="18" t="str">
        <f t="shared" si="0"/>
        <v>6191625d-bd72-4093-977a-fb9e1f6c258c</v>
      </c>
      <c r="C35" s="18" t="str">
        <f>A19</f>
        <v>d44470fd-8947-407f-adc7-6776f8238c4c</v>
      </c>
      <c r="D35" s="16" t="s">
        <v>94</v>
      </c>
      <c r="E35" s="15" t="s">
        <v>34</v>
      </c>
      <c r="F35" s="16" t="s">
        <v>120</v>
      </c>
      <c r="G35" s="15" t="s">
        <v>38</v>
      </c>
      <c r="H35" s="15">
        <v>12</v>
      </c>
      <c r="I35" s="15"/>
    </row>
    <row r="36" spans="1:11">
      <c r="A36" s="13" t="s">
        <v>140</v>
      </c>
      <c r="B36" s="18" t="str">
        <f t="shared" si="0"/>
        <v>3d75061a-bff7-466d-92a8-f8f814fcbbb8</v>
      </c>
      <c r="C36" s="18" t="str">
        <f>A20</f>
        <v>92d9c5dc-6575-4f9b-b295-20ed578ec435</v>
      </c>
      <c r="D36" s="16" t="s">
        <v>95</v>
      </c>
      <c r="E36" s="15" t="s">
        <v>28</v>
      </c>
      <c r="F36" s="16" t="s">
        <v>121</v>
      </c>
      <c r="G36" s="15" t="s">
        <v>39</v>
      </c>
      <c r="H36" s="15">
        <v>3</v>
      </c>
      <c r="I36" s="15"/>
    </row>
    <row r="37" spans="1:11">
      <c r="A37" s="13" t="s">
        <v>141</v>
      </c>
      <c r="B37" s="18" t="str">
        <f t="shared" si="0"/>
        <v>156c36e1-4e0a-40d2-8518-fa0198b65a85</v>
      </c>
      <c r="C37" s="18" t="str">
        <f>A20</f>
        <v>92d9c5dc-6575-4f9b-b295-20ed578ec435</v>
      </c>
      <c r="D37" s="16" t="s">
        <v>96</v>
      </c>
      <c r="E37" s="15" t="s">
        <v>28</v>
      </c>
      <c r="F37" s="16" t="s">
        <v>122</v>
      </c>
      <c r="G37" s="15" t="s">
        <v>40</v>
      </c>
      <c r="H37" s="15">
        <v>3</v>
      </c>
      <c r="I37" s="15"/>
    </row>
    <row r="38" spans="1:11">
      <c r="A38" s="13" t="s">
        <v>142</v>
      </c>
      <c r="B38" s="18" t="str">
        <f t="shared" si="0"/>
        <v>cb424aa6-bf99-43a3-ba14-a83b2efd6a95</v>
      </c>
      <c r="C38" s="18" t="str">
        <f>A20</f>
        <v>92d9c5dc-6575-4f9b-b295-20ed578ec435</v>
      </c>
      <c r="D38" s="16" t="s">
        <v>97</v>
      </c>
      <c r="E38" s="15" t="s">
        <v>32</v>
      </c>
      <c r="F38" s="16" t="s">
        <v>122</v>
      </c>
      <c r="G38" s="15" t="s">
        <v>41</v>
      </c>
      <c r="H38" s="15">
        <v>11</v>
      </c>
      <c r="I38" s="15"/>
    </row>
    <row r="39" spans="1:11">
      <c r="A39" s="13" t="s">
        <v>143</v>
      </c>
      <c r="B39" s="18" t="str">
        <f t="shared" si="0"/>
        <v>79480aef-114d-4716-b722-7f21127f587a</v>
      </c>
      <c r="C39" s="18" t="str">
        <f>A21</f>
        <v>33db8c0e-331b-4a46-98c7-f3d016409958</v>
      </c>
      <c r="D39" s="16" t="s">
        <v>98</v>
      </c>
      <c r="E39" s="15" t="s">
        <v>30</v>
      </c>
      <c r="F39" s="16" t="s">
        <v>123</v>
      </c>
      <c r="G39" s="15" t="s">
        <v>42</v>
      </c>
      <c r="H39" s="15">
        <v>5</v>
      </c>
      <c r="I39" s="15"/>
    </row>
    <row r="40" spans="1:11">
      <c r="A40" s="13" t="s">
        <v>144</v>
      </c>
      <c r="B40" s="18" t="str">
        <f t="shared" si="0"/>
        <v>eccde042-6f00-45ad-b3d1-c444979a1680</v>
      </c>
      <c r="C40" s="18" t="str">
        <f>A21</f>
        <v>33db8c0e-331b-4a46-98c7-f3d016409958</v>
      </c>
      <c r="D40" s="16" t="s">
        <v>99</v>
      </c>
      <c r="E40" s="15" t="s">
        <v>30</v>
      </c>
      <c r="F40" s="16" t="s">
        <v>124</v>
      </c>
      <c r="G40" s="15" t="s">
        <v>43</v>
      </c>
      <c r="H40" s="15">
        <v>3</v>
      </c>
      <c r="I40" s="15"/>
    </row>
    <row r="41" spans="1:11">
      <c r="A41" s="13" t="s">
        <v>145</v>
      </c>
      <c r="B41" s="18" t="str">
        <f t="shared" si="0"/>
        <v>d1e2cc06-809d-4313-a726-35233b70115e</v>
      </c>
      <c r="C41" s="18" t="str">
        <f>A16</f>
        <v>82bff4d9-0822-4031-9b07-8720afcdf465</v>
      </c>
      <c r="D41" s="16" t="s">
        <v>100</v>
      </c>
      <c r="E41" s="15" t="s">
        <v>30</v>
      </c>
      <c r="F41" s="16" t="s">
        <v>125</v>
      </c>
      <c r="G41" s="15" t="s">
        <v>44</v>
      </c>
      <c r="H41" s="15">
        <v>1</v>
      </c>
      <c r="I41" s="15"/>
    </row>
    <row r="42" spans="1:11">
      <c r="A42" s="13" t="s">
        <v>146</v>
      </c>
      <c r="B42" s="18" t="str">
        <f t="shared" si="0"/>
        <v>d5ac5293-5d8b-4980-8161-1891a7cc3c27</v>
      </c>
      <c r="C42" s="18" t="str">
        <f>A16</f>
        <v>82bff4d9-0822-4031-9b07-8720afcdf465</v>
      </c>
      <c r="D42" s="16" t="s">
        <v>101</v>
      </c>
      <c r="E42" s="15" t="s">
        <v>30</v>
      </c>
      <c r="F42" s="16" t="s">
        <v>126</v>
      </c>
      <c r="G42" s="15" t="s">
        <v>45</v>
      </c>
      <c r="H42" s="15">
        <v>1</v>
      </c>
      <c r="I42" s="15"/>
    </row>
    <row r="43" spans="1:11">
      <c r="A43" s="13" t="s">
        <v>164</v>
      </c>
      <c r="B43" s="18" t="str">
        <f t="shared" si="0"/>
        <v>776c6f2c-50fb-4716-9c21-0d378c560315</v>
      </c>
      <c r="C43" s="18" t="str">
        <f>A16</f>
        <v>82bff4d9-0822-4031-9b07-8720afcdf465</v>
      </c>
      <c r="D43" s="16" t="s">
        <v>162</v>
      </c>
      <c r="E43" s="15" t="s">
        <v>28</v>
      </c>
      <c r="F43" s="16" t="s">
        <v>163</v>
      </c>
      <c r="G43" s="15" t="s">
        <v>161</v>
      </c>
      <c r="H43" s="15">
        <v>1</v>
      </c>
      <c r="I43" s="15"/>
    </row>
    <row r="44" spans="1:11">
      <c r="A44" s="3"/>
      <c r="C44" s="3"/>
      <c r="D44" s="4"/>
      <c r="E44" s="2"/>
      <c r="F44" s="4"/>
      <c r="G44" s="2"/>
      <c r="K44" s="3"/>
    </row>
    <row r="45" spans="1:11">
      <c r="A45" s="3"/>
      <c r="C45" s="3"/>
      <c r="D45" s="4"/>
      <c r="E45" s="2"/>
      <c r="F45" s="4"/>
      <c r="G45" s="2"/>
      <c r="K45" s="3"/>
    </row>
    <row r="46" spans="1:11">
      <c r="A46" s="6" t="s">
        <v>1</v>
      </c>
      <c r="B46" s="7" t="s">
        <v>46</v>
      </c>
      <c r="C46" s="21" t="s">
        <v>12</v>
      </c>
      <c r="D46" s="22"/>
      <c r="E46" s="22"/>
      <c r="F46" s="22"/>
      <c r="G46" s="22"/>
      <c r="H46" s="22"/>
      <c r="I46" s="22"/>
    </row>
    <row r="47" spans="1:11">
      <c r="A47" s="8" t="s">
        <v>47</v>
      </c>
      <c r="B47" s="8" t="s">
        <v>48</v>
      </c>
      <c r="C47" s="20" t="s">
        <v>49</v>
      </c>
      <c r="D47" s="8" t="s">
        <v>50</v>
      </c>
      <c r="E47" s="8" t="s">
        <v>169</v>
      </c>
      <c r="F47" s="9" t="s">
        <v>171</v>
      </c>
      <c r="G47" s="20" t="s">
        <v>51</v>
      </c>
      <c r="H47" s="20" t="s">
        <v>52</v>
      </c>
      <c r="I47" s="20" t="s">
        <v>53</v>
      </c>
    </row>
    <row r="48" spans="1:11">
      <c r="A48" s="10" t="s">
        <v>0</v>
      </c>
      <c r="B48" s="10" t="s">
        <v>3</v>
      </c>
      <c r="C48" s="10" t="s">
        <v>54</v>
      </c>
      <c r="D48" s="19" t="s">
        <v>2</v>
      </c>
      <c r="E48" s="12" t="s">
        <v>170</v>
      </c>
      <c r="F48" s="12" t="s">
        <v>172</v>
      </c>
      <c r="G48" s="10" t="s">
        <v>26</v>
      </c>
      <c r="H48" s="10" t="s">
        <v>168</v>
      </c>
      <c r="I48" s="10" t="s">
        <v>55</v>
      </c>
    </row>
    <row r="49" spans="1:11">
      <c r="A49" s="13" t="s">
        <v>147</v>
      </c>
      <c r="B49" s="15" t="s">
        <v>68</v>
      </c>
      <c r="C49" s="15" t="s">
        <v>56</v>
      </c>
      <c r="D49" s="16" t="s">
        <v>102</v>
      </c>
      <c r="E49" s="15" t="s">
        <v>174</v>
      </c>
      <c r="F49" s="15" t="s">
        <v>173</v>
      </c>
      <c r="G49" s="15">
        <v>1</v>
      </c>
      <c r="H49" s="15"/>
      <c r="I49" s="15"/>
    </row>
    <row r="50" spans="1:11">
      <c r="A50" s="13" t="s">
        <v>148</v>
      </c>
      <c r="B50" s="15" t="s">
        <v>69</v>
      </c>
      <c r="C50" s="15" t="s">
        <v>56</v>
      </c>
      <c r="D50" s="16" t="s">
        <v>103</v>
      </c>
      <c r="E50" s="15" t="s">
        <v>174</v>
      </c>
      <c r="F50" s="15" t="s">
        <v>173</v>
      </c>
      <c r="G50" s="15">
        <v>4</v>
      </c>
      <c r="H50" s="15"/>
      <c r="I50" s="15"/>
    </row>
    <row r="51" spans="1:11">
      <c r="A51" s="13" t="s">
        <v>149</v>
      </c>
      <c r="B51" s="15" t="s">
        <v>70</v>
      </c>
      <c r="C51" s="15" t="s">
        <v>56</v>
      </c>
      <c r="D51" s="16" t="s">
        <v>104</v>
      </c>
      <c r="E51" s="15" t="s">
        <v>174</v>
      </c>
      <c r="F51" s="15" t="s">
        <v>173</v>
      </c>
      <c r="G51" s="15">
        <v>8</v>
      </c>
      <c r="H51" s="15"/>
      <c r="I51" s="15"/>
    </row>
    <row r="52" spans="1:11">
      <c r="A52" s="13" t="s">
        <v>150</v>
      </c>
      <c r="B52" s="15" t="s">
        <v>71</v>
      </c>
      <c r="C52" s="15" t="s">
        <v>56</v>
      </c>
      <c r="D52" s="16" t="s">
        <v>105</v>
      </c>
      <c r="E52" s="15" t="s">
        <v>174</v>
      </c>
      <c r="F52" s="15" t="s">
        <v>173</v>
      </c>
      <c r="G52" s="15">
        <v>12</v>
      </c>
      <c r="H52" s="15"/>
      <c r="I52" s="15"/>
    </row>
    <row r="53" spans="1:11">
      <c r="A53" s="13" t="s">
        <v>151</v>
      </c>
      <c r="B53" s="15" t="s">
        <v>72</v>
      </c>
      <c r="C53" s="15" t="s">
        <v>56</v>
      </c>
      <c r="D53" s="16" t="s">
        <v>106</v>
      </c>
      <c r="E53" s="15" t="s">
        <v>174</v>
      </c>
      <c r="F53" s="15" t="s">
        <v>173</v>
      </c>
      <c r="G53" s="15">
        <v>1</v>
      </c>
      <c r="H53" s="15"/>
      <c r="I53" s="15"/>
    </row>
    <row r="54" spans="1:11">
      <c r="A54" s="13" t="s">
        <v>152</v>
      </c>
      <c r="B54" s="15" t="s">
        <v>73</v>
      </c>
      <c r="C54" s="15" t="s">
        <v>56</v>
      </c>
      <c r="D54" s="16" t="s">
        <v>107</v>
      </c>
      <c r="E54" s="15" t="s">
        <v>174</v>
      </c>
      <c r="F54" s="15" t="s">
        <v>173</v>
      </c>
      <c r="G54" s="15">
        <v>8</v>
      </c>
      <c r="H54" s="15"/>
      <c r="I54" s="15"/>
    </row>
    <row r="55" spans="1:11">
      <c r="A55" s="13" t="s">
        <v>153</v>
      </c>
      <c r="B55" s="15" t="s">
        <v>74</v>
      </c>
      <c r="C55" s="15" t="s">
        <v>56</v>
      </c>
      <c r="D55" s="16" t="s">
        <v>108</v>
      </c>
      <c r="E55" s="15" t="s">
        <v>174</v>
      </c>
      <c r="F55" s="15" t="s">
        <v>173</v>
      </c>
      <c r="G55" s="15">
        <v>12</v>
      </c>
      <c r="H55" s="15"/>
      <c r="I55" s="15"/>
    </row>
    <row r="56" spans="1:11">
      <c r="A56" s="13" t="s">
        <v>154</v>
      </c>
      <c r="B56" s="15" t="s">
        <v>75</v>
      </c>
      <c r="C56" s="15" t="s">
        <v>56</v>
      </c>
      <c r="D56" s="16" t="s">
        <v>109</v>
      </c>
      <c r="E56" s="15" t="s">
        <v>174</v>
      </c>
      <c r="F56" s="15" t="s">
        <v>173</v>
      </c>
      <c r="G56" s="15">
        <v>3</v>
      </c>
      <c r="H56" s="15"/>
      <c r="I56" s="15"/>
    </row>
    <row r="57" spans="1:11">
      <c r="A57" s="13" t="s">
        <v>155</v>
      </c>
      <c r="B57" s="15" t="s">
        <v>76</v>
      </c>
      <c r="C57" s="15" t="s">
        <v>56</v>
      </c>
      <c r="D57" s="16" t="s">
        <v>110</v>
      </c>
      <c r="E57" s="15" t="s">
        <v>174</v>
      </c>
      <c r="F57" s="15" t="s">
        <v>173</v>
      </c>
      <c r="G57" s="15">
        <v>3</v>
      </c>
      <c r="H57" s="15"/>
      <c r="I57" s="15"/>
    </row>
    <row r="58" spans="1:11">
      <c r="A58" s="13" t="s">
        <v>156</v>
      </c>
      <c r="B58" s="15" t="s">
        <v>77</v>
      </c>
      <c r="C58" s="15" t="s">
        <v>56</v>
      </c>
      <c r="D58" s="16" t="s">
        <v>111</v>
      </c>
      <c r="E58" s="15" t="s">
        <v>174</v>
      </c>
      <c r="F58" s="15" t="s">
        <v>173</v>
      </c>
      <c r="G58" s="15">
        <v>11</v>
      </c>
      <c r="H58" s="15"/>
      <c r="I58" s="15"/>
    </row>
    <row r="59" spans="1:11">
      <c r="A59" s="13" t="s">
        <v>157</v>
      </c>
      <c r="B59" s="15" t="s">
        <v>78</v>
      </c>
      <c r="C59" s="15" t="s">
        <v>56</v>
      </c>
      <c r="D59" s="16" t="s">
        <v>112</v>
      </c>
      <c r="E59" s="15" t="s">
        <v>174</v>
      </c>
      <c r="F59" s="15" t="s">
        <v>173</v>
      </c>
      <c r="G59" s="15">
        <v>5</v>
      </c>
      <c r="H59" s="15"/>
      <c r="I59" s="15"/>
    </row>
    <row r="60" spans="1:11">
      <c r="A60" s="13" t="s">
        <v>158</v>
      </c>
      <c r="B60" s="15" t="s">
        <v>79</v>
      </c>
      <c r="C60" s="15" t="s">
        <v>56</v>
      </c>
      <c r="D60" s="16" t="s">
        <v>113</v>
      </c>
      <c r="E60" s="15" t="s">
        <v>174</v>
      </c>
      <c r="F60" s="15" t="s">
        <v>173</v>
      </c>
      <c r="G60" s="15">
        <v>3</v>
      </c>
      <c r="H60" s="15"/>
      <c r="I60" s="15"/>
    </row>
    <row r="61" spans="1:11">
      <c r="A61" s="13" t="s">
        <v>159</v>
      </c>
      <c r="B61" s="15" t="s">
        <v>80</v>
      </c>
      <c r="C61" s="15" t="s">
        <v>56</v>
      </c>
      <c r="D61" s="16" t="s">
        <v>114</v>
      </c>
      <c r="E61" s="15" t="s">
        <v>174</v>
      </c>
      <c r="F61" s="15" t="s">
        <v>173</v>
      </c>
      <c r="G61" s="15">
        <v>1</v>
      </c>
      <c r="H61" s="15"/>
      <c r="I61" s="15"/>
    </row>
    <row r="62" spans="1:11">
      <c r="A62" s="13" t="s">
        <v>160</v>
      </c>
      <c r="B62" s="15" t="s">
        <v>81</v>
      </c>
      <c r="C62" s="15" t="s">
        <v>56</v>
      </c>
      <c r="D62" s="16" t="s">
        <v>115</v>
      </c>
      <c r="E62" s="15" t="s">
        <v>174</v>
      </c>
      <c r="F62" s="15" t="s">
        <v>173</v>
      </c>
      <c r="G62" s="15">
        <v>1</v>
      </c>
      <c r="H62" s="15"/>
      <c r="I62" s="15"/>
    </row>
    <row r="63" spans="1:11">
      <c r="A63" s="13" t="s">
        <v>167</v>
      </c>
      <c r="B63" s="15" t="s">
        <v>166</v>
      </c>
      <c r="C63" s="15" t="s">
        <v>56</v>
      </c>
      <c r="D63" s="16" t="s">
        <v>165</v>
      </c>
      <c r="E63" s="15" t="s">
        <v>174</v>
      </c>
      <c r="F63" s="15" t="s">
        <v>173</v>
      </c>
      <c r="G63" s="15">
        <v>1</v>
      </c>
      <c r="H63" s="15"/>
      <c r="I63" s="15"/>
    </row>
    <row r="64" spans="1:11">
      <c r="A64" s="3"/>
      <c r="C64" s="3"/>
      <c r="D64" s="4"/>
      <c r="E64" s="2"/>
      <c r="F64" s="4"/>
      <c r="G64" s="2"/>
      <c r="K64" s="3"/>
    </row>
    <row r="65" spans="1:11">
      <c r="A65" s="3"/>
      <c r="D65" s="2"/>
      <c r="E65" s="2"/>
      <c r="G65" s="2"/>
      <c r="K65" s="3"/>
    </row>
  </sheetData>
  <mergeCells count="4">
    <mergeCell ref="C13:E13"/>
    <mergeCell ref="C26:I26"/>
    <mergeCell ref="C46:I46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