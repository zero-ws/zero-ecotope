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velop/Source/ox-workshop/hotel/ho-driver/ix-lemuria/src/main/resources/init/oob/cab/"/>
    </mc:Choice>
  </mc:AlternateContent>
  <xr:revisionPtr revIDLastSave="0" documentId="13_ncr:1_{EDE228C1-EF64-E547-A2FC-8B937B631833}" xr6:coauthVersionLast="47" xr6:coauthVersionMax="47" xr10:uidLastSave="{00000000-0000-0000-0000-000000000000}"/>
  <bookViews>
    <workbookView xWindow="3260" yWindow="500" windowWidth="38400" windowHeight="2256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2" l="1"/>
  <c r="C36" i="2"/>
  <c r="C29" i="2"/>
  <c r="B35" i="2"/>
  <c r="C35" i="2"/>
  <c r="C30" i="2"/>
  <c r="B30" i="2"/>
  <c r="C34" i="2" l="1"/>
  <c r="B34" i="2"/>
  <c r="C28" i="2" l="1"/>
  <c r="C27" i="2"/>
  <c r="C33" i="2"/>
  <c r="C32" i="2"/>
  <c r="C31" i="2"/>
  <c r="B33" i="2" l="1"/>
  <c r="B32" i="2"/>
  <c r="B31" i="2"/>
  <c r="B29" i="2"/>
  <c r="B28" i="2"/>
  <c r="B27" i="2"/>
</calcChain>
</file>

<file path=xl/sharedStrings.xml><?xml version="1.0" encoding="utf-8"?>
<sst xmlns="http://schemas.openxmlformats.org/spreadsheetml/2006/main" count="220" uniqueCount="148">
  <si>
    <t>key</t>
  </si>
  <si>
    <t>{TABLE}</t>
  </si>
  <si>
    <t>code</t>
  </si>
  <si>
    <t>name</t>
  </si>
  <si>
    <t>S_PERMISSION</t>
  </si>
  <si>
    <t>权限基本数据</t>
  </si>
  <si>
    <t>权限主键</t>
  </si>
  <si>
    <t>权限名称</t>
  </si>
  <si>
    <t>权限编码</t>
  </si>
  <si>
    <t>备注</t>
  </si>
  <si>
    <t>comment</t>
  </si>
  <si>
    <t>S_ACTION</t>
  </si>
  <si>
    <t>操作基本数据</t>
  </si>
  <si>
    <t>操作主键</t>
  </si>
  <si>
    <t>操作地址</t>
  </si>
  <si>
    <t>访问方法</t>
  </si>
  <si>
    <t>操作码</t>
  </si>
  <si>
    <t>操作名称</t>
  </si>
  <si>
    <t>关联资源</t>
  </si>
  <si>
    <t>关联权限</t>
  </si>
  <si>
    <t>操作级别</t>
  </si>
  <si>
    <t>副作用模式</t>
  </si>
  <si>
    <t>uri</t>
  </si>
  <si>
    <t>method</t>
  </si>
  <si>
    <t>resourceId</t>
  </si>
  <si>
    <t>permissionId</t>
  </si>
  <si>
    <t>level</t>
  </si>
  <si>
    <t>renewalCredit</t>
  </si>
  <si>
    <t>GET</t>
  </si>
  <si>
    <t>读取</t>
  </si>
  <si>
    <t>POST</t>
  </si>
  <si>
    <t>添加</t>
  </si>
  <si>
    <t>PUT</t>
  </si>
  <si>
    <t>编辑</t>
  </si>
  <si>
    <t>DELETE</t>
  </si>
  <si>
    <t>删除</t>
  </si>
  <si>
    <t>搜索</t>
  </si>
  <si>
    <t>存在</t>
  </si>
  <si>
    <t>丢失</t>
  </si>
  <si>
    <t>S_RESOURCE</t>
  </si>
  <si>
    <t>资源主键</t>
  </si>
  <si>
    <t>资源名称</t>
  </si>
  <si>
    <t>角色模式</t>
  </si>
  <si>
    <t>资源编码</t>
  </si>
  <si>
    <t>要求级别</t>
  </si>
  <si>
    <t>组模式</t>
  </si>
  <si>
    <t>树模式</t>
  </si>
  <si>
    <t>modeRole</t>
  </si>
  <si>
    <t>UNION</t>
  </si>
  <si>
    <t>读取房价码</t>
  </si>
  <si>
    <t>添加房价码</t>
  </si>
  <si>
    <t>房价码读取</t>
  </si>
  <si>
    <t>房价码读取、列表、搜索</t>
  </si>
  <si>
    <t>房价码添加</t>
  </si>
  <si>
    <t>房价码添加、集成添加</t>
  </si>
  <si>
    <t>房价码更新</t>
  </si>
  <si>
    <t>房价码编辑、审批、集成更新</t>
  </si>
  <si>
    <t>房价码删除</t>
  </si>
  <si>
    <t>编辑房价码</t>
  </si>
  <si>
    <t>删除房价码</t>
  </si>
  <si>
    <t>搜索房价码</t>
  </si>
  <si>
    <t>检查存在房价码</t>
  </si>
  <si>
    <t>检查丢失房价码</t>
  </si>
  <si>
    <t>perm.room-price.read</t>
  </si>
  <si>
    <t>perm.room-price.add</t>
  </si>
  <si>
    <t>perm.room-price.edit</t>
  </si>
  <si>
    <t>perm.room-price.delete</t>
  </si>
  <si>
    <t>/api/room-price/:key</t>
  </si>
  <si>
    <t>act.room-price.read</t>
  </si>
  <si>
    <t>/api/room-price</t>
  </si>
  <si>
    <t>act.room-price.add</t>
  </si>
  <si>
    <t>act.room-price.edit</t>
  </si>
  <si>
    <t>act.room-price.delete</t>
  </si>
  <si>
    <t>/api/room-price/search</t>
  </si>
  <si>
    <t>act.room-price.search</t>
  </si>
  <si>
    <t>/api/room-price/existing</t>
  </si>
  <si>
    <t>act.room-price.existing</t>
  </si>
  <si>
    <t>/api/room-price/missing</t>
  </si>
  <si>
    <t>act.room-price.missing</t>
  </si>
  <si>
    <t>res.room-price.read</t>
  </si>
  <si>
    <t>res.room-price.add</t>
  </si>
  <si>
    <t>res.room-price.edit</t>
  </si>
  <si>
    <t>res.room-price.delete</t>
  </si>
  <si>
    <t>res.room-price.search</t>
  </si>
  <si>
    <t>res.room-price.existing</t>
  </si>
  <si>
    <t>res.room-price.missing</t>
  </si>
  <si>
    <t>2b096427-1763-4824-9f48-afc3e113f43c</t>
  </si>
  <si>
    <t>7d6158b3-1073-45b9-9f1c-7496f1cc7783</t>
  </si>
  <si>
    <t>0df533f7-ab9d-4905-bd7f-448dfbd639f7</t>
  </si>
  <si>
    <t>18b89ffc-b8cd-44df-9b68-876374880392</t>
  </si>
  <si>
    <t>e34ba2e2-32cc-4c2d-8d89-7bdfc087e829</t>
  </si>
  <si>
    <t>5c64a018-e797-474c-b491-9175b12feec6</t>
  </si>
  <si>
    <t>ce3bdc6c-cc37-4bdf-8a41-178c843449a8</t>
  </si>
  <si>
    <t>48bb243f-4bb9-4487-b2d5-a74cf0e374e1</t>
  </si>
  <si>
    <t>2efe137f-924a-43d9-90be-f7877e37665b</t>
  </si>
  <si>
    <t>f22b995e-ec3c-4d2f-8e48-66018e119745</t>
  </si>
  <si>
    <t>fe41152f-32c5-4862-b8ed-5f168fb39cf4</t>
  </si>
  <si>
    <t>a58fe74a-d8ba-477c-a249-eea6f0a40b87</t>
  </si>
  <si>
    <t>37d8b093-e38d-4906-be9c-9e457ff883d4</t>
  </si>
  <si>
    <t>18a03634-1024-4898-bc67-d06e27919466</t>
  </si>
  <si>
    <t>77866f0d-64dc-4d45-bf23-06bf92ab3fa4</t>
  </si>
  <si>
    <t>b932aade-a918-4c5f-81a0-b8c1969f9773</t>
  </si>
  <si>
    <t>03bf798c-0282-43a8-9a2d-56a60e32ade4</t>
  </si>
  <si>
    <t>4416ad90-0222-4d27-840c-1e0117d89504</t>
  </si>
  <si>
    <t>读取所有房价码</t>
  </si>
  <si>
    <t>按酒店id读取房价码</t>
  </si>
  <si>
    <t>perm.room-price.by-hotel</t>
  </si>
  <si>
    <t>53326196-461a-40b2-82b0-2beff6a62641</t>
  </si>
  <si>
    <t>/api/room-price/hotel/:hotelId</t>
  </si>
  <si>
    <t>act.room-price.by-hotel</t>
  </si>
  <si>
    <t>res.room-price.by-hotel</t>
  </si>
  <si>
    <t>删除房价类型</t>
  </si>
  <si>
    <t>批量保存房价码</t>
  </si>
  <si>
    <t>/api/room-price-cat/by/:key</t>
  </si>
  <si>
    <t>act.room-price-cat.by-key</t>
  </si>
  <si>
    <t>/api/room-price/batch</t>
  </si>
  <si>
    <t>act.room-price.batch</t>
  </si>
  <si>
    <t>res.room-price-cat.by-key</t>
  </si>
  <si>
    <t>res.room-price.batch</t>
  </si>
  <si>
    <t>76daf796-0f58-479e-9d5f-f2434707caa0</t>
  </si>
  <si>
    <t>fd9e366a-a171-4915-aaab-7082c8aee5ef</t>
  </si>
  <si>
    <t>63302c38-a753-4f82-a3de-be5a34211590</t>
  </si>
  <si>
    <t>ff027f4f-8fee-4606-8f3d-1a2daa21abf4</t>
  </si>
  <si>
    <t>0e953a30-842f-4ca8-80b1-d8359e5d52ae</t>
  </si>
  <si>
    <t>0d5cb7a3-3995-4b53-b678-1282daa932ba</t>
  </si>
  <si>
    <t>所属模型</t>
    <phoneticPr fontId="1" type="noConversion"/>
  </si>
  <si>
    <t>identifier</t>
    <phoneticPr fontId="1" type="noConversion"/>
  </si>
  <si>
    <t>资源分类</t>
    <phoneticPr fontId="1" type="noConversion"/>
  </si>
  <si>
    <t>type</t>
    <phoneticPr fontId="1" type="noConversion"/>
  </si>
  <si>
    <t>resource.basic</t>
    <phoneticPr fontId="1" type="noConversion"/>
  </si>
  <si>
    <t>datum.room-price</t>
    <phoneticPr fontId="1" type="noConversion"/>
  </si>
  <si>
    <t>modeGroup</t>
    <phoneticPr fontId="1" type="noConversion"/>
  </si>
  <si>
    <t>modeTree</t>
    <phoneticPr fontId="1" type="noConversion"/>
  </si>
  <si>
    <t>S_PERM_SET</t>
    <phoneticPr fontId="1" type="noConversion"/>
  </si>
  <si>
    <t>权限集主键</t>
    <phoneticPr fontId="9" type="noConversion"/>
  </si>
  <si>
    <t>权限代码</t>
    <phoneticPr fontId="9" type="noConversion"/>
  </si>
  <si>
    <t>权限集名称</t>
    <phoneticPr fontId="9" type="noConversion"/>
  </si>
  <si>
    <t>权限集类型</t>
    <phoneticPr fontId="9" type="noConversion"/>
  </si>
  <si>
    <t>code</t>
    <phoneticPr fontId="9" type="noConversion"/>
  </si>
  <si>
    <t>name</t>
    <phoneticPr fontId="9" type="noConversion"/>
  </si>
  <si>
    <t>type</t>
    <phoneticPr fontId="9" type="noConversion"/>
  </si>
  <si>
    <t>酒店数据权限</t>
    <phoneticPr fontId="9" type="noConversion"/>
  </si>
  <si>
    <t>09dbf16b-f038-46dc-bef3-a00eb399fc65</t>
  </si>
  <si>
    <t>业务码/房价码</t>
    <phoneticPr fontId="9" type="noConversion"/>
  </si>
  <si>
    <t>5d6b0c16-930f-428f-9478-4c20ca2ff7bf</t>
  </si>
  <si>
    <t>bc848820-ec34-459f-8941-39e78280b500</t>
  </si>
  <si>
    <t>56b3f84e-f83b-440a-97ce-4c747ea9affb</t>
  </si>
  <si>
    <t>37b00a0f-02ec-4994-bf58-ea4a1248bb02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</si>
</sst>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0070C0"/>
      <name val="等线 (Body)"/>
      <family val="3"/>
      <charset val="134"/>
    </font>
    <font>
      <sz val="16"/>
      <color theme="1"/>
      <name val="等线 (Body)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</font>
    <font>
      <sz val="16"/>
      <color theme="1"/>
      <name val="等线"/>
      <family val="3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1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1" xfId="0" applyFont="1" applyFill="1" applyBorder="1"/>
    <xf numFmtId="0" fontId="8" fillId="0" borderId="0" xfId="0" applyFont="1"/>
    <xf numFmtId="0" fontId="8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0" borderId="1" xfId="0" applyFont="1" applyBorder="1"/>
    <xf numFmtId="0" fontId="10" fillId="0" borderId="1" xfId="0" applyFont="1" applyBorder="1"/>
    <xf numFmtId="0" fontId="11" fillId="6" borderId="1" xfId="0" applyFont="1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93BBCB6-E2B0-449A-938F-626EE3A7BD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1:K53"/>
  <sheetViews>
    <sheetView tabSelected="1" topLeftCell="A23" workbookViewId="0">
      <selection activeCell="A54" sqref="A54:XFD56"/>
    </sheetView>
  </sheetViews>
  <sheetFormatPr baseColWidth="10" defaultColWidth="11" defaultRowHeight="21"/>
  <cols>
    <col min="1" max="2" width="55.33203125" style="2" bestFit="1" customWidth="1"/>
    <col min="3" max="3" width="53.83203125" style="2" bestFit="1" customWidth="1"/>
    <col min="4" max="4" width="34.33203125" style="3" bestFit="1" customWidth="1"/>
    <col min="5" max="5" width="24" style="3" bestFit="1" customWidth="1"/>
    <col min="6" max="6" width="39.6640625" style="3" bestFit="1" customWidth="1"/>
    <col min="7" max="7" width="21.6640625" style="4" bestFit="1" customWidth="1"/>
    <col min="8" max="8" width="16" style="2" bestFit="1" customWidth="1"/>
    <col min="9" max="9" width="18.1640625" style="2" bestFit="1" customWidth="1"/>
    <col min="10" max="10" width="15.5" style="2" bestFit="1" customWidth="1"/>
    <col min="11" max="11" width="12.6640625" style="2" bestFit="1" customWidth="1"/>
    <col min="12" max="12" width="16.5" style="2" bestFit="1" customWidth="1"/>
    <col min="13" max="16384" width="11" style="2"/>
  </cols>
  <sheetData>
    <row r="1" spans="1:9">
      <c r="A1" s="1"/>
    </row>
    <row r="2" spans="1:9" s="31" customFormat="1">
      <c r="A2" s="26" t="s">
        <v>1</v>
      </c>
      <c r="B2" s="27" t="s">
        <v>133</v>
      </c>
      <c r="C2" s="28"/>
      <c r="D2" s="29"/>
      <c r="E2" s="30"/>
      <c r="F2" s="30"/>
      <c r="G2" s="30"/>
    </row>
    <row r="3" spans="1:9" s="31" customFormat="1">
      <c r="A3" s="32" t="s">
        <v>134</v>
      </c>
      <c r="B3" s="32" t="s">
        <v>135</v>
      </c>
      <c r="C3" s="32" t="s">
        <v>136</v>
      </c>
      <c r="D3" s="32" t="s">
        <v>137</v>
      </c>
    </row>
    <row r="4" spans="1:9" s="31" customFormat="1">
      <c r="A4" s="33" t="s">
        <v>0</v>
      </c>
      <c r="B4" s="33" t="s">
        <v>138</v>
      </c>
      <c r="C4" s="33" t="s">
        <v>139</v>
      </c>
      <c r="D4" s="33" t="s">
        <v>140</v>
      </c>
    </row>
    <row r="5" spans="1:9" s="31" customFormat="1">
      <c r="A5" s="14" t="s">
        <v>142</v>
      </c>
      <c r="B5" s="34" t="s">
        <v>63</v>
      </c>
      <c r="C5" s="35" t="s">
        <v>143</v>
      </c>
      <c r="D5" s="36" t="s">
        <v>141</v>
      </c>
    </row>
    <row r="6" spans="1:9" s="31" customFormat="1">
      <c r="A6" s="14" t="s">
        <v>144</v>
      </c>
      <c r="B6" s="34" t="s">
        <v>64</v>
      </c>
      <c r="C6" s="35" t="s">
        <v>143</v>
      </c>
      <c r="D6" s="36" t="s">
        <v>141</v>
      </c>
    </row>
    <row r="7" spans="1:9" s="31" customFormat="1">
      <c r="A7" s="14" t="s">
        <v>145</v>
      </c>
      <c r="B7" s="34" t="s">
        <v>65</v>
      </c>
      <c r="C7" s="35" t="s">
        <v>143</v>
      </c>
      <c r="D7" s="36" t="s">
        <v>141</v>
      </c>
    </row>
    <row r="8" spans="1:9" s="31" customFormat="1">
      <c r="A8" s="14" t="s">
        <v>146</v>
      </c>
      <c r="B8" s="34" t="s">
        <v>66</v>
      </c>
      <c r="C8" s="35" t="s">
        <v>143</v>
      </c>
      <c r="D8" s="36" t="s">
        <v>141</v>
      </c>
    </row>
    <row r="9" spans="1:9" s="31" customFormat="1">
      <c r="A9" s="14" t="s">
        <v>147</v>
      </c>
      <c r="B9" s="34" t="s">
        <v>106</v>
      </c>
      <c r="C9" s="35" t="s">
        <v>143</v>
      </c>
      <c r="D9" s="36" t="s">
        <v>141</v>
      </c>
    </row>
    <row r="10" spans="1:9">
      <c r="A10" s="5"/>
    </row>
    <row r="12" spans="1:9">
      <c r="A12" s="6" t="s">
        <v>1</v>
      </c>
      <c r="B12" s="7" t="s">
        <v>4</v>
      </c>
      <c r="C12" s="22" t="s">
        <v>5</v>
      </c>
      <c r="D12" s="23"/>
      <c r="E12" s="23"/>
      <c r="F12" s="2"/>
      <c r="G12" s="2"/>
      <c r="I12" s="8"/>
    </row>
    <row r="13" spans="1:9">
      <c r="A13" s="9" t="s">
        <v>6</v>
      </c>
      <c r="B13" s="9" t="s">
        <v>7</v>
      </c>
      <c r="C13" s="10" t="s">
        <v>9</v>
      </c>
      <c r="D13" s="9" t="s">
        <v>8</v>
      </c>
      <c r="E13" s="9" t="s">
        <v>125</v>
      </c>
      <c r="F13" s="2"/>
      <c r="G13" s="2"/>
    </row>
    <row r="14" spans="1:9">
      <c r="A14" s="11" t="s">
        <v>0</v>
      </c>
      <c r="B14" s="11" t="s">
        <v>3</v>
      </c>
      <c r="C14" s="12" t="s">
        <v>10</v>
      </c>
      <c r="D14" s="11" t="s">
        <v>2</v>
      </c>
      <c r="E14" s="13" t="s">
        <v>126</v>
      </c>
      <c r="F14" s="2"/>
      <c r="G14" s="2"/>
    </row>
    <row r="15" spans="1:9">
      <c r="A15" s="14" t="s">
        <v>86</v>
      </c>
      <c r="B15" s="16" t="s">
        <v>51</v>
      </c>
      <c r="C15" s="17" t="s">
        <v>52</v>
      </c>
      <c r="D15" s="15" t="s">
        <v>63</v>
      </c>
      <c r="E15" s="16" t="s">
        <v>130</v>
      </c>
      <c r="F15" s="2"/>
      <c r="G15" s="2"/>
    </row>
    <row r="16" spans="1:9">
      <c r="A16" s="14" t="s">
        <v>87</v>
      </c>
      <c r="B16" s="16" t="s">
        <v>53</v>
      </c>
      <c r="C16" s="17" t="s">
        <v>54</v>
      </c>
      <c r="D16" s="15" t="s">
        <v>64</v>
      </c>
      <c r="E16" s="16" t="s">
        <v>130</v>
      </c>
      <c r="F16" s="2"/>
      <c r="G16" s="2"/>
    </row>
    <row r="17" spans="1:9">
      <c r="A17" s="14" t="s">
        <v>88</v>
      </c>
      <c r="B17" s="16" t="s">
        <v>55</v>
      </c>
      <c r="C17" s="17" t="s">
        <v>56</v>
      </c>
      <c r="D17" s="15" t="s">
        <v>65</v>
      </c>
      <c r="E17" s="16" t="s">
        <v>130</v>
      </c>
      <c r="F17" s="2"/>
      <c r="G17" s="2"/>
    </row>
    <row r="18" spans="1:9">
      <c r="A18" s="14" t="s">
        <v>89</v>
      </c>
      <c r="B18" s="16" t="s">
        <v>57</v>
      </c>
      <c r="C18" s="17" t="s">
        <v>57</v>
      </c>
      <c r="D18" s="15" t="s">
        <v>66</v>
      </c>
      <c r="E18" s="16" t="s">
        <v>130</v>
      </c>
      <c r="F18" s="2"/>
      <c r="G18" s="2"/>
    </row>
    <row r="19" spans="1:9">
      <c r="A19" s="14" t="s">
        <v>107</v>
      </c>
      <c r="B19" s="16" t="s">
        <v>104</v>
      </c>
      <c r="C19" s="17" t="s">
        <v>105</v>
      </c>
      <c r="D19" s="15" t="s">
        <v>106</v>
      </c>
      <c r="E19" s="16" t="s">
        <v>130</v>
      </c>
      <c r="F19" s="2"/>
      <c r="G19" s="2"/>
    </row>
    <row r="24" spans="1:9">
      <c r="A24" s="6" t="s">
        <v>1</v>
      </c>
      <c r="B24" s="7" t="s">
        <v>11</v>
      </c>
      <c r="C24" s="24" t="s">
        <v>12</v>
      </c>
      <c r="D24" s="25"/>
      <c r="E24" s="25"/>
      <c r="F24" s="25"/>
      <c r="G24" s="25"/>
      <c r="H24" s="25"/>
      <c r="I24" s="25"/>
    </row>
    <row r="25" spans="1:9">
      <c r="A25" s="9" t="s">
        <v>13</v>
      </c>
      <c r="B25" s="9" t="s">
        <v>18</v>
      </c>
      <c r="C25" s="9" t="s">
        <v>19</v>
      </c>
      <c r="D25" s="9" t="s">
        <v>16</v>
      </c>
      <c r="E25" s="9" t="s">
        <v>15</v>
      </c>
      <c r="F25" s="9" t="s">
        <v>14</v>
      </c>
      <c r="G25" s="9" t="s">
        <v>17</v>
      </c>
      <c r="H25" s="9" t="s">
        <v>20</v>
      </c>
      <c r="I25" s="9" t="s">
        <v>21</v>
      </c>
    </row>
    <row r="26" spans="1:9">
      <c r="A26" s="11" t="s">
        <v>0</v>
      </c>
      <c r="B26" s="11" t="s">
        <v>24</v>
      </c>
      <c r="C26" s="11" t="s">
        <v>25</v>
      </c>
      <c r="D26" s="20" t="s">
        <v>2</v>
      </c>
      <c r="E26" s="11" t="s">
        <v>23</v>
      </c>
      <c r="F26" s="20" t="s">
        <v>22</v>
      </c>
      <c r="G26" s="11" t="s">
        <v>3</v>
      </c>
      <c r="H26" s="11" t="s">
        <v>26</v>
      </c>
      <c r="I26" s="11" t="s">
        <v>27</v>
      </c>
    </row>
    <row r="27" spans="1:9">
      <c r="A27" s="14" t="s">
        <v>90</v>
      </c>
      <c r="B27" s="19" t="str">
        <f t="shared" ref="B27:B36" si="0">A42</f>
        <v>a58fe74a-d8ba-477c-a249-eea6f0a40b87</v>
      </c>
      <c r="C27" s="19" t="str">
        <f>A15</f>
        <v>2b096427-1763-4824-9f48-afc3e113f43c</v>
      </c>
      <c r="D27" s="17" t="s">
        <v>68</v>
      </c>
      <c r="E27" s="16" t="s">
        <v>28</v>
      </c>
      <c r="F27" s="17" t="s">
        <v>67</v>
      </c>
      <c r="G27" s="16" t="s">
        <v>29</v>
      </c>
      <c r="H27" s="16">
        <v>1</v>
      </c>
      <c r="I27" s="16"/>
    </row>
    <row r="28" spans="1:9">
      <c r="A28" s="14" t="s">
        <v>91</v>
      </c>
      <c r="B28" s="19" t="str">
        <f t="shared" si="0"/>
        <v>37d8b093-e38d-4906-be9c-9e457ff883d4</v>
      </c>
      <c r="C28" s="19" t="str">
        <f>A16</f>
        <v>7d6158b3-1073-45b9-9f1c-7496f1cc7783</v>
      </c>
      <c r="D28" s="17" t="s">
        <v>70</v>
      </c>
      <c r="E28" s="16" t="s">
        <v>30</v>
      </c>
      <c r="F28" s="17" t="s">
        <v>69</v>
      </c>
      <c r="G28" s="16" t="s">
        <v>31</v>
      </c>
      <c r="H28" s="16">
        <v>4</v>
      </c>
      <c r="I28" s="16"/>
    </row>
    <row r="29" spans="1:9">
      <c r="A29" s="14" t="s">
        <v>92</v>
      </c>
      <c r="B29" s="19" t="str">
        <f t="shared" si="0"/>
        <v>18a03634-1024-4898-bc67-d06e27919466</v>
      </c>
      <c r="C29" s="19" t="str">
        <f>A17</f>
        <v>0df533f7-ab9d-4905-bd7f-448dfbd639f7</v>
      </c>
      <c r="D29" s="17" t="s">
        <v>71</v>
      </c>
      <c r="E29" s="16" t="s">
        <v>32</v>
      </c>
      <c r="F29" s="17" t="s">
        <v>67</v>
      </c>
      <c r="G29" s="16" t="s">
        <v>33</v>
      </c>
      <c r="H29" s="16">
        <v>8</v>
      </c>
      <c r="I29" s="16"/>
    </row>
    <row r="30" spans="1:9">
      <c r="A30" s="18" t="s">
        <v>93</v>
      </c>
      <c r="B30" s="19" t="str">
        <f t="shared" si="0"/>
        <v>77866f0d-64dc-4d45-bf23-06bf92ab3fa4</v>
      </c>
      <c r="C30" s="19" t="str">
        <f>A18</f>
        <v>18b89ffc-b8cd-44df-9b68-876374880392</v>
      </c>
      <c r="D30" s="17" t="s">
        <v>72</v>
      </c>
      <c r="E30" s="16" t="s">
        <v>34</v>
      </c>
      <c r="F30" s="17" t="s">
        <v>67</v>
      </c>
      <c r="G30" s="16" t="s">
        <v>35</v>
      </c>
      <c r="H30" s="16">
        <v>12</v>
      </c>
      <c r="I30" s="16"/>
    </row>
    <row r="31" spans="1:9">
      <c r="A31" s="14" t="s">
        <v>94</v>
      </c>
      <c r="B31" s="19" t="str">
        <f t="shared" si="0"/>
        <v>b932aade-a918-4c5f-81a0-b8c1969f9773</v>
      </c>
      <c r="C31" s="19" t="str">
        <f>A15</f>
        <v>2b096427-1763-4824-9f48-afc3e113f43c</v>
      </c>
      <c r="D31" s="17" t="s">
        <v>74</v>
      </c>
      <c r="E31" s="16" t="s">
        <v>30</v>
      </c>
      <c r="F31" s="17" t="s">
        <v>73</v>
      </c>
      <c r="G31" s="16" t="s">
        <v>36</v>
      </c>
      <c r="H31" s="16">
        <v>1</v>
      </c>
      <c r="I31" s="16"/>
    </row>
    <row r="32" spans="1:9">
      <c r="A32" s="14" t="s">
        <v>95</v>
      </c>
      <c r="B32" s="19" t="str">
        <f t="shared" si="0"/>
        <v>03bf798c-0282-43a8-9a2d-56a60e32ade4</v>
      </c>
      <c r="C32" s="19" t="str">
        <f>A15</f>
        <v>2b096427-1763-4824-9f48-afc3e113f43c</v>
      </c>
      <c r="D32" s="17" t="s">
        <v>76</v>
      </c>
      <c r="E32" s="16" t="s">
        <v>30</v>
      </c>
      <c r="F32" s="17" t="s">
        <v>75</v>
      </c>
      <c r="G32" s="16" t="s">
        <v>37</v>
      </c>
      <c r="H32" s="16">
        <v>1</v>
      </c>
      <c r="I32" s="16"/>
    </row>
    <row r="33" spans="1:11">
      <c r="A33" s="14" t="s">
        <v>96</v>
      </c>
      <c r="B33" s="19" t="str">
        <f t="shared" si="0"/>
        <v>4416ad90-0222-4d27-840c-1e0117d89504</v>
      </c>
      <c r="C33" s="19" t="str">
        <f>A15</f>
        <v>2b096427-1763-4824-9f48-afc3e113f43c</v>
      </c>
      <c r="D33" s="17" t="s">
        <v>78</v>
      </c>
      <c r="E33" s="16" t="s">
        <v>30</v>
      </c>
      <c r="F33" s="17" t="s">
        <v>77</v>
      </c>
      <c r="G33" s="16" t="s">
        <v>38</v>
      </c>
      <c r="H33" s="16">
        <v>1</v>
      </c>
      <c r="I33" s="16"/>
    </row>
    <row r="34" spans="1:11">
      <c r="A34" s="14" t="s">
        <v>119</v>
      </c>
      <c r="B34" s="19" t="str">
        <f t="shared" si="0"/>
        <v>ff027f4f-8fee-4606-8f3d-1a2daa21abf4</v>
      </c>
      <c r="C34" s="19" t="str">
        <f>A19</f>
        <v>53326196-461a-40b2-82b0-2beff6a62641</v>
      </c>
      <c r="D34" s="17" t="s">
        <v>109</v>
      </c>
      <c r="E34" s="16" t="s">
        <v>28</v>
      </c>
      <c r="F34" s="17" t="s">
        <v>108</v>
      </c>
      <c r="G34" s="16" t="s">
        <v>104</v>
      </c>
      <c r="H34" s="16">
        <v>1</v>
      </c>
      <c r="I34" s="16"/>
    </row>
    <row r="35" spans="1:11">
      <c r="A35" s="14" t="s">
        <v>120</v>
      </c>
      <c r="B35" s="19" t="str">
        <f t="shared" si="0"/>
        <v>0e953a30-842f-4ca8-80b1-d8359e5d52ae</v>
      </c>
      <c r="C35" s="19" t="str">
        <f>A18</f>
        <v>18b89ffc-b8cd-44df-9b68-876374880392</v>
      </c>
      <c r="D35" s="17" t="s">
        <v>114</v>
      </c>
      <c r="E35" s="16" t="s">
        <v>34</v>
      </c>
      <c r="F35" s="17" t="s">
        <v>113</v>
      </c>
      <c r="G35" s="16" t="s">
        <v>111</v>
      </c>
      <c r="H35" s="16">
        <v>12</v>
      </c>
      <c r="I35" s="16"/>
    </row>
    <row r="36" spans="1:11">
      <c r="A36" s="14" t="s">
        <v>121</v>
      </c>
      <c r="B36" s="19" t="str">
        <f t="shared" si="0"/>
        <v>0d5cb7a3-3995-4b53-b678-1282daa932ba</v>
      </c>
      <c r="C36" s="19" t="str">
        <f>A17</f>
        <v>0df533f7-ab9d-4905-bd7f-448dfbd639f7</v>
      </c>
      <c r="D36" s="17" t="s">
        <v>116</v>
      </c>
      <c r="E36" s="16" t="s">
        <v>30</v>
      </c>
      <c r="F36" s="17" t="s">
        <v>115</v>
      </c>
      <c r="G36" s="16" t="s">
        <v>112</v>
      </c>
      <c r="H36" s="16">
        <v>8</v>
      </c>
      <c r="I36" s="16"/>
    </row>
    <row r="37" spans="1:11">
      <c r="A37" s="3"/>
      <c r="C37" s="3"/>
      <c r="D37" s="4"/>
      <c r="E37" s="2"/>
      <c r="F37" s="4"/>
      <c r="G37" s="2"/>
      <c r="K37" s="3"/>
    </row>
    <row r="38" spans="1:11">
      <c r="A38" s="3"/>
      <c r="C38" s="3"/>
      <c r="D38" s="4"/>
      <c r="E38" s="2"/>
      <c r="F38" s="4"/>
      <c r="G38" s="2"/>
      <c r="K38" s="3"/>
    </row>
    <row r="39" spans="1:11">
      <c r="A39" s="6" t="s">
        <v>1</v>
      </c>
      <c r="B39" s="7" t="s">
        <v>39</v>
      </c>
      <c r="C39" s="22" t="s">
        <v>12</v>
      </c>
      <c r="D39" s="23"/>
      <c r="E39" s="23"/>
      <c r="F39" s="23"/>
      <c r="G39" s="23"/>
      <c r="H39" s="23"/>
      <c r="I39" s="23"/>
      <c r="K39" s="3"/>
    </row>
    <row r="40" spans="1:11">
      <c r="A40" s="9" t="s">
        <v>40</v>
      </c>
      <c r="B40" s="9" t="s">
        <v>41</v>
      </c>
      <c r="C40" s="21" t="s">
        <v>42</v>
      </c>
      <c r="D40" s="9" t="s">
        <v>43</v>
      </c>
      <c r="E40" s="9" t="s">
        <v>125</v>
      </c>
      <c r="F40" s="10" t="s">
        <v>127</v>
      </c>
      <c r="G40" s="21" t="s">
        <v>44</v>
      </c>
      <c r="H40" s="21" t="s">
        <v>45</v>
      </c>
      <c r="I40" s="21" t="s">
        <v>46</v>
      </c>
    </row>
    <row r="41" spans="1:11">
      <c r="A41" s="11" t="s">
        <v>0</v>
      </c>
      <c r="B41" s="11" t="s">
        <v>3</v>
      </c>
      <c r="C41" s="11" t="s">
        <v>47</v>
      </c>
      <c r="D41" s="20" t="s">
        <v>2</v>
      </c>
      <c r="E41" s="13" t="s">
        <v>126</v>
      </c>
      <c r="F41" s="13" t="s">
        <v>128</v>
      </c>
      <c r="G41" s="11" t="s">
        <v>26</v>
      </c>
      <c r="H41" s="11" t="s">
        <v>131</v>
      </c>
      <c r="I41" s="11" t="s">
        <v>132</v>
      </c>
    </row>
    <row r="42" spans="1:11">
      <c r="A42" s="14" t="s">
        <v>97</v>
      </c>
      <c r="B42" s="16" t="s">
        <v>49</v>
      </c>
      <c r="C42" s="16" t="s">
        <v>48</v>
      </c>
      <c r="D42" s="17" t="s">
        <v>79</v>
      </c>
      <c r="E42" s="16" t="s">
        <v>130</v>
      </c>
      <c r="F42" s="16" t="s">
        <v>129</v>
      </c>
      <c r="G42" s="16">
        <v>1</v>
      </c>
      <c r="H42" s="16"/>
      <c r="I42" s="16"/>
    </row>
    <row r="43" spans="1:11">
      <c r="A43" s="14" t="s">
        <v>98</v>
      </c>
      <c r="B43" s="16" t="s">
        <v>50</v>
      </c>
      <c r="C43" s="16" t="s">
        <v>48</v>
      </c>
      <c r="D43" s="17" t="s">
        <v>80</v>
      </c>
      <c r="E43" s="16" t="s">
        <v>130</v>
      </c>
      <c r="F43" s="16" t="s">
        <v>129</v>
      </c>
      <c r="G43" s="16">
        <v>4</v>
      </c>
      <c r="H43" s="16"/>
      <c r="I43" s="16"/>
    </row>
    <row r="44" spans="1:11">
      <c r="A44" s="14" t="s">
        <v>99</v>
      </c>
      <c r="B44" s="16" t="s">
        <v>58</v>
      </c>
      <c r="C44" s="16" t="s">
        <v>48</v>
      </c>
      <c r="D44" s="17" t="s">
        <v>81</v>
      </c>
      <c r="E44" s="16" t="s">
        <v>130</v>
      </c>
      <c r="F44" s="16" t="s">
        <v>129</v>
      </c>
      <c r="G44" s="16">
        <v>8</v>
      </c>
      <c r="H44" s="16"/>
      <c r="I44" s="16"/>
    </row>
    <row r="45" spans="1:11">
      <c r="A45" s="14" t="s">
        <v>100</v>
      </c>
      <c r="B45" s="16" t="s">
        <v>59</v>
      </c>
      <c r="C45" s="16" t="s">
        <v>48</v>
      </c>
      <c r="D45" s="17" t="s">
        <v>82</v>
      </c>
      <c r="E45" s="16" t="s">
        <v>130</v>
      </c>
      <c r="F45" s="16" t="s">
        <v>129</v>
      </c>
      <c r="G45" s="16">
        <v>12</v>
      </c>
      <c r="H45" s="16"/>
      <c r="I45" s="16"/>
    </row>
    <row r="46" spans="1:11">
      <c r="A46" s="14" t="s">
        <v>101</v>
      </c>
      <c r="B46" s="16" t="s">
        <v>60</v>
      </c>
      <c r="C46" s="16" t="s">
        <v>48</v>
      </c>
      <c r="D46" s="17" t="s">
        <v>83</v>
      </c>
      <c r="E46" s="16" t="s">
        <v>130</v>
      </c>
      <c r="F46" s="16" t="s">
        <v>129</v>
      </c>
      <c r="G46" s="16">
        <v>1</v>
      </c>
      <c r="H46" s="16"/>
      <c r="I46" s="16"/>
    </row>
    <row r="47" spans="1:11">
      <c r="A47" s="14" t="s">
        <v>102</v>
      </c>
      <c r="B47" s="16" t="s">
        <v>61</v>
      </c>
      <c r="C47" s="16" t="s">
        <v>48</v>
      </c>
      <c r="D47" s="17" t="s">
        <v>84</v>
      </c>
      <c r="E47" s="16" t="s">
        <v>130</v>
      </c>
      <c r="F47" s="16" t="s">
        <v>129</v>
      </c>
      <c r="G47" s="16">
        <v>1</v>
      </c>
      <c r="H47" s="16"/>
      <c r="I47" s="16"/>
    </row>
    <row r="48" spans="1:11">
      <c r="A48" s="14" t="s">
        <v>103</v>
      </c>
      <c r="B48" s="16" t="s">
        <v>62</v>
      </c>
      <c r="C48" s="16" t="s">
        <v>48</v>
      </c>
      <c r="D48" s="17" t="s">
        <v>85</v>
      </c>
      <c r="E48" s="16" t="s">
        <v>130</v>
      </c>
      <c r="F48" s="16" t="s">
        <v>129</v>
      </c>
      <c r="G48" s="16">
        <v>1</v>
      </c>
      <c r="H48" s="16"/>
      <c r="I48" s="16"/>
    </row>
    <row r="49" spans="1:11">
      <c r="A49" s="14" t="s">
        <v>122</v>
      </c>
      <c r="B49" s="16" t="s">
        <v>104</v>
      </c>
      <c r="C49" s="16" t="s">
        <v>48</v>
      </c>
      <c r="D49" s="17" t="s">
        <v>110</v>
      </c>
      <c r="E49" s="16" t="s">
        <v>130</v>
      </c>
      <c r="F49" s="16" t="s">
        <v>129</v>
      </c>
      <c r="G49" s="16">
        <v>1</v>
      </c>
      <c r="H49" s="16"/>
      <c r="I49" s="16"/>
    </row>
    <row r="50" spans="1:11">
      <c r="A50" s="18" t="s">
        <v>123</v>
      </c>
      <c r="B50" s="16" t="s">
        <v>111</v>
      </c>
      <c r="C50" s="16" t="s">
        <v>48</v>
      </c>
      <c r="D50" s="17" t="s">
        <v>117</v>
      </c>
      <c r="E50" s="16" t="s">
        <v>130</v>
      </c>
      <c r="F50" s="16" t="s">
        <v>129</v>
      </c>
      <c r="G50" s="16">
        <v>12</v>
      </c>
      <c r="H50" s="16"/>
      <c r="I50" s="16"/>
    </row>
    <row r="51" spans="1:11">
      <c r="A51" s="14" t="s">
        <v>124</v>
      </c>
      <c r="B51" s="16" t="s">
        <v>112</v>
      </c>
      <c r="C51" s="16" t="s">
        <v>48</v>
      </c>
      <c r="D51" s="17" t="s">
        <v>118</v>
      </c>
      <c r="E51" s="16" t="s">
        <v>130</v>
      </c>
      <c r="F51" s="16" t="s">
        <v>129</v>
      </c>
      <c r="G51" s="16">
        <v>8</v>
      </c>
      <c r="H51" s="16"/>
      <c r="I51" s="16"/>
    </row>
    <row r="52" spans="1:11">
      <c r="A52" s="3"/>
      <c r="C52" s="3"/>
      <c r="D52" s="4"/>
      <c r="E52" s="2"/>
      <c r="F52" s="4"/>
      <c r="G52" s="2"/>
      <c r="K52" s="3"/>
    </row>
    <row r="53" spans="1:11">
      <c r="A53" s="3"/>
      <c r="D53" s="2"/>
      <c r="E53" s="2"/>
      <c r="G53" s="2"/>
      <c r="K53" s="3"/>
    </row>
  </sheetData>
  <mergeCells count="4">
    <mergeCell ref="C12:E12"/>
    <mergeCell ref="C24:I24"/>
    <mergeCell ref="C39:I39"/>
    <mergeCell ref="C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</Properties>
</file>