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<sst xmlns="http://schemas.openxmlformats.org/spreadsheetml/2006/main" count="434" uniqueCount="252">
  <si>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</si>
  <si>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</si>
  <si>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</si>
  <si>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</si>
  <si>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</si>
  <si>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</si>
  <si>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</si>
  <si>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</si>
  <si>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</si>
  <si>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</si>
  <si>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4cc8592b-eb04-413d-8d42-004735cb7a62</t>
  </si>
  <si>
    <t>perm.order.standard.submit</t>
  </si>
  <si>
    <t>主流程/酒店业务</t>
  </si>
  <si>
    <t>酒店业务权限</t>
  </si>
  <si>
    <t>f162c6ff-e7c1-4af8-b492-7df08f8cadb1</t>
  </si>
  <si>
    <t>perm.order.direct.submit</t>
  </si>
  <si>
    <t>4fccd793-0fa5-4fa7-90f1-b4a9a8848faa</t>
  </si>
  <si>
    <t>perm.order.check-in.submit</t>
  </si>
  <si>
    <t>42a778aa-c497-459c-84c0-7dec009d6349</t>
  </si>
  <si>
    <t>perm.schedule.save</t>
  </si>
  <si>
    <t>407cd8e2-d8f9-4e01-92d6-32d85b98cc50</t>
  </si>
  <si>
    <t>perm.order.by.room</t>
  </si>
  <si>
    <t>主流程/数据查询</t>
  </si>
  <si>
    <t>9cc5174b-969a-44e5-97a2-ff07d72f849c</t>
  </si>
  <si>
    <t>perm.order.by.schedule</t>
  </si>
  <si>
    <t>28a754b5-8bb8-41ec-8e2d-a79e1e98c900</t>
  </si>
  <si>
    <t>perm.order.status.save</t>
  </si>
  <si>
    <t>主流程/辅助操作</t>
  </si>
  <si>
    <t>58b4b93d-91d1-4f10-8f7a-6904460046ea</t>
  </si>
  <si>
    <t>perm.aggr.resource</t>
  </si>
  <si>
    <t>a1bad91b-2647-4779-afc3-06ebe431a789</t>
  </si>
  <si>
    <t>perm.room.finished</t>
  </si>
  <si>
    <t>fc04d026-271a-4cdc-9b6f-5cd10172a2ea</t>
  </si>
  <si>
    <t>perm.hotel.mute.init</t>
  </si>
  <si>
    <t>d0b118a9-99e9-48b7-8dd4-ef701b013d7d</t>
  </si>
  <si>
    <t>perm.hotel.night.admin</t>
  </si>
  <si>
    <t>S_PERMISSION</t>
  </si>
  <si>
    <t>权限基本数据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</si>
  <si>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</si>
  <si>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</si>
  <si>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</si>
  <si>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</si>
  <si>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</si>
  <si>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</si>
  <si>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</si>
  <si>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c969e63f-b041-4a0c-83a6-0e299a4baece</t>
  </si>
  <si>
    <t>提交预定</t>
  </si>
  <si>
    <t>hotel.order</t>
  </si>
  <si>
    <t>615fc714-d5e3-4d9b-962a-4b45bdc204ad</t>
  </si>
  <si>
    <t>直接预定</t>
  </si>
  <si>
    <t>2dd306f8-321a-4c14-9691-43f4229ee0c4</t>
  </si>
  <si>
    <t>保存排房</t>
  </si>
  <si>
    <t>hotel.schedule</t>
  </si>
  <si>
    <t>c2da32f8-2997-411b-ab39-fd037147c06c</t>
  </si>
  <si>
    <t>按房号读订单</t>
  </si>
  <si>
    <t>按房号读取订单</t>
  </si>
  <si>
    <t>f96662f1-e1ae-450e-abee-afc99870c935</t>
  </si>
  <si>
    <t>按排房读订单</t>
  </si>
  <si>
    <t>e6abb842-0126-49fa-8bcf-c93d140321df</t>
  </si>
  <si>
    <t>办理入住</t>
  </si>
  <si>
    <t>930f42ea-429a-4d55-a780-e8940a423018</t>
  </si>
  <si>
    <t>状态更新</t>
  </si>
  <si>
    <t>513fafc8-4bfc-48aa-8fa3-dfc2188503b3</t>
  </si>
  <si>
    <t>退房操作</t>
  </si>
  <si>
    <t>datum.room</t>
  </si>
  <si>
    <t>54f3fb56-21ae-4e8b-b69b-aa63fcab4f57</t>
  </si>
  <si>
    <t>哑房账本初始化</t>
  </si>
  <si>
    <t>hotel</t>
  </si>
  <si>
    <t>d34a0e3b-561e-4b61-9841-d3390d672c76</t>
  </si>
  <si>
    <t>夜审管理</t>
  </si>
  <si>
    <t>hotel.night</t>
  </si>
  <si>
    <t>67fa14b5-72f6-4c94-a63d-4ba7850764a7</t>
  </si>
  <si>
    <t>计算房间资源</t>
  </si>
  <si>
    <t>datum.room-status</t>
  </si>
  <si>
    <t>S_ACTION</t>
  </si>
  <si>
    <t>操作基本数据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</si>
  <si>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</si>
  <si>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</si>
  <si>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</si>
  <si>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</si>
  <si>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</si>
  <si>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</si>
  <si>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</si>
  <si>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</si>
  <si>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</si>
  <si>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</si>
  <si>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</si>
  <si>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</si>
  <si>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</si>
  <si>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</si>
  <si>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</si>
  <si>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3f180abf-2cd0-4525-ac78-c23be096dd68</t>
  </si>
  <si>
    <t>act.order.standard.submit</t>
  </si>
  <si>
    <t>POST</t>
  </si>
  <si>
    <t>/api/order/standard/submit</t>
  </si>
  <si>
    <t>092985ab-dd4d-4ee2-995f-a697890c8ef1</t>
  </si>
  <si>
    <t>act.order.direct.submit</t>
  </si>
  <si>
    <t>/api/order/direct/submit</t>
  </si>
  <si>
    <t>9a1ebe3a-590c-4d26-925f-fe9010d88af8</t>
  </si>
  <si>
    <t>act.schedule.save</t>
  </si>
  <si>
    <t>PUT</t>
  </si>
  <si>
    <t>/api/schedules/save</t>
  </si>
  <si>
    <t>253e5763-9e07-49ee-ae9a-40b804fa9ce9</t>
  </si>
  <si>
    <t>act.order.by.room</t>
  </si>
  <si>
    <t>GET</t>
  </si>
  <si>
    <t>/api/order/room/:room</t>
  </si>
  <si>
    <t>08ea9f11-a28f-4cbe-9bdd-a6d9cd72a52e</t>
  </si>
  <si>
    <t>act.order.by.schedule</t>
  </si>
  <si>
    <t>/api/order/schedule/:schedule</t>
  </si>
  <si>
    <t>f00dcbf5-9249-4178-9ccc-11f18be81344</t>
  </si>
  <si>
    <t>act.order.check-in.submit</t>
  </si>
  <si>
    <t>/api/order/check-in/submit</t>
  </si>
  <si>
    <t>80bd419c-ad33-47c9-a184-76d112f4b98d</t>
  </si>
  <si>
    <t>act.order.check-in.tomorrow</t>
  </si>
  <si>
    <t>/api/order/check-in/tomorrow</t>
  </si>
  <si>
    <t>办理续住</t>
  </si>
  <si>
    <t>f0a2f365-bc12-4b26-8bcb-65e63e8e0918</t>
  </si>
  <si>
    <t>act.order.status.save</t>
  </si>
  <si>
    <t>/api/order/:key/:status</t>
  </si>
  <si>
    <t>d338c4c1-7372-411c-a58a-ae2db2ab5427</t>
  </si>
  <si>
    <t>act.cancel.order</t>
  </si>
  <si>
    <t>/api/cancel-work/order</t>
  </si>
  <si>
    <t>取消订单</t>
  </si>
  <si>
    <t>a6dbad97-2932-4056-ae85-2bf2abc66972</t>
  </si>
  <si>
    <t>act.cancel.order-item</t>
  </si>
  <si>
    <t>/api/cancel-work/order-item</t>
  </si>
  <si>
    <t>取消订单项</t>
  </si>
  <si>
    <t>05245802-3587-43e7-8ab1-0a8fccd34cf0</t>
  </si>
  <si>
    <t>act.cancel.schedule</t>
  </si>
  <si>
    <t>/api/cancel-work/schedule</t>
  </si>
  <si>
    <t>取消排房</t>
  </si>
  <si>
    <t>286385bd-8124-48e9-9b51-f9248542ec61</t>
  </si>
  <si>
    <t>act.cancel.check-in</t>
  </si>
  <si>
    <t>/api/cancel-work/checkout/:key</t>
  </si>
  <si>
    <t>单用户离店</t>
  </si>
  <si>
    <t>a9fd3946-33da-4aac-b14d-d88aad275535</t>
  </si>
  <si>
    <t>act.room.finished</t>
  </si>
  <si>
    <t>/api/room/finished</t>
  </si>
  <si>
    <t>56a0749d-296e-4f5a-b708-50d7a263e7cf</t>
  </si>
  <si>
    <t>act.hotel.mute.init</t>
  </si>
  <si>
    <t>/api/hotel/book-mute</t>
  </si>
  <si>
    <t>42a3fb0b-dd54-43a6-835c-6269b74ec75f</t>
  </si>
  <si>
    <t>act.hotel.night.init</t>
  </si>
  <si>
    <t>/api/night/initialize/:key</t>
  </si>
  <si>
    <t>夜审初始化</t>
  </si>
  <si>
    <t>60c9d717-d7fc-41d1-874f-c1869498da27</t>
  </si>
  <si>
    <t>act.hotel.night.start</t>
  </si>
  <si>
    <t>/api/night/start/:key</t>
  </si>
  <si>
    <t>夜审开始</t>
  </si>
  <si>
    <t>378fb10d-c571-4cc5-ab2f-6af6c81eeef5</t>
  </si>
  <si>
    <t>act.hotel.night.fetch</t>
  </si>
  <si>
    <t>/api/night/:key</t>
  </si>
  <si>
    <t>读取夜审主单</t>
  </si>
  <si>
    <t>e28652ae-49fa-4078-9a92-67b9865a5ad1</t>
  </si>
  <si>
    <t>act.hotel.night-item.start</t>
  </si>
  <si>
    <t>/api/night-item/move/:key</t>
  </si>
  <si>
    <t>夜审项执行</t>
  </si>
  <si>
    <t>d4d544bc-f9aa-48ca-ad9a-df590b226ea6</t>
  </si>
  <si>
    <t>act.hotel.night-item.fetch</t>
  </si>
  <si>
    <t>夜审项预处理</t>
  </si>
  <si>
    <t>c5ba7953-9a56-4b00-82c4-b1a6d6726ccc</t>
  </si>
  <si>
    <t>act.hotel.night.search</t>
  </si>
  <si>
    <t>/api/night/search</t>
  </si>
  <si>
    <t>夜审搜索</t>
  </si>
  <si>
    <t>9fe5de55-9507-4619-87fc-5a44b7193047</t>
  </si>
  <si>
    <t>act.room.aggr-ordering</t>
  </si>
  <si>
    <t>/api/room-aggr/ordering</t>
  </si>
  <si>
    <t>可预定资源</t>
  </si>
  <si>
    <t>4087a5f5-d69f-4a96-a1ed-d7e45edb4ab7</t>
  </si>
  <si>
    <t>act.room.aggr-resource</t>
  </si>
  <si>
    <t>/api/room-aggr/resource</t>
  </si>
  <si>
    <t>房间资源</t>
  </si>
  <si>
    <t>eb107a3b-2b29-4fc5-92fa-02a8b1a8ee0c</t>
  </si>
  <si>
    <t>act.room.aggr-tomorrow</t>
  </si>
  <si>
    <t>/api/room-aggr/tomorrow</t>
  </si>
  <si>
    <t>续住房间资源</t>
  </si>
  <si>
    <t>092984ec-dee9-4ecd-ab87-213df79115db</t>
  </si>
  <si>
    <t>f27792f2-1fdf-47d9-a904-6e9a1b83623d</t>
  </si>
  <si>
    <t>act.hotel.night.realtime</t>
  </si>
  <si>
    <t>/api/night-item/realtime/:key</t>
  </si>
  <si>
    <t>订单实时查询</t>
  </si>
  <si>
    <t>2fdb2481-cf29-46f2-9e27-5802291bdc65</t>
  </si>
  <si>
    <t>3bce6b17-097c-4b5b-8abd-4b3929f01b28</t>
  </si>
  <si>
    <t>act.hotel.night.result</t>
  </si>
  <si>
    <t>/api/cancel-work/result/:key</t>
  </si>
  <si>
    <t xml:space="preserve">   取消副本订单</t>
  </si>
  <si>
    <t>S_RESOURCE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</si>
  <si>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</si>
  <si>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</si>
  <si>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</si>
  <si>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</si>
  <si>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</si>
  <si>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</si>
  <si>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</si>
  <si>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</si>
  <si>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</si>
  <si>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</si>
  <si>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</si>
  <si>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759b3a99-036f-47ae-894c-107f23abd964</t>
  </si>
  <si>
    <t>UNION</t>
  </si>
  <si>
    <t>res.order.standard.submit</t>
  </si>
  <si>
    <t>resource.workflow</t>
  </si>
  <si>
    <t>568493f5-7006-4149-a4f7-929680ef7ab1</t>
  </si>
  <si>
    <t>res.order.direct.submit</t>
  </si>
  <si>
    <t>f135fd82-68d7-4cd4-942b-557feb0db117</t>
  </si>
  <si>
    <t>res.schedule.save</t>
  </si>
  <si>
    <t>ae1b800b-8ead-4eb1-9704-7ee1a6f7c4c4</t>
  </si>
  <si>
    <t>res.order.by.schedule</t>
  </si>
  <si>
    <t>bfde9ba9-d6fa-4736-b759-bffdd29698e4</t>
  </si>
  <si>
    <t>res.order.check-in.submit</t>
  </si>
  <si>
    <t>ceea4be4-f3e4-4820-837b-50f22901375d</t>
  </si>
  <si>
    <t>res.order.check-in.tomorrow</t>
  </si>
  <si>
    <t>1d184469-2cc3-4306-b136-d6f3e0e921a5</t>
  </si>
  <si>
    <t>res.order.status.save</t>
  </si>
  <si>
    <t>e87f9da1-ae4b-43f4-9a73-fa790b6dad3d</t>
  </si>
  <si>
    <t>res.cancel.order</t>
  </si>
  <si>
    <t>13ddddaf-2f3d-4ad3-a17a-3ab27a169aeb</t>
  </si>
  <si>
    <t>res.cancel.order-item</t>
  </si>
  <si>
    <t>eb2a8743-91a3-4ec0-a37e-61080acdafaa</t>
  </si>
  <si>
    <t>res.cancel.schedule</t>
  </si>
  <si>
    <t>ec02a97c-91c7-4186-86ca-3c5f5ab15b98</t>
  </si>
  <si>
    <t>res.cancel.check-in</t>
  </si>
  <si>
    <t>hotel.occup</t>
  </si>
  <si>
    <t>714eec8a-d2b8-4ae7-a2c8-68307f80e852</t>
  </si>
  <si>
    <t>res.room.finished</t>
  </si>
  <si>
    <t>hotel.room</t>
  </si>
  <si>
    <t>194bc1d9-7ec5-4efc-bbfd-da2683d36605</t>
  </si>
  <si>
    <t>res.hotel.mute.init</t>
  </si>
  <si>
    <t>8f8bf0dc-dc7e-4b90-b519-a649a46426d0</t>
  </si>
  <si>
    <t>res.hotel.night.init</t>
  </si>
  <si>
    <t>8f9f5963-ac3c-4011-bd55-60af392879ff</t>
  </si>
  <si>
    <t>res.hotel.night.start</t>
  </si>
  <si>
    <t>8760c537-1002-46a7-b136-30699fed5c6c</t>
  </si>
  <si>
    <t>res.hotel.night.fetch</t>
  </si>
  <si>
    <t>33e457bb-72b3-4f3f-a027-18b892d34f03</t>
  </si>
  <si>
    <t>res.hotel.night-item.start</t>
  </si>
  <si>
    <t>02115bc7-e4e5-4ddd-8cd9-79533ce266de</t>
  </si>
  <si>
    <t>res.hotel.night-item.fetch</t>
  </si>
  <si>
    <t>0477d8df-8888-4387-be13-58c27105912b</t>
  </si>
  <si>
    <t>res.hotel.night.search</t>
  </si>
  <si>
    <t>cfcdd388-e6e7-45cc-9fd0-d4e14776d0e8</t>
  </si>
  <si>
    <t>res.order.by.room</t>
  </si>
  <si>
    <t>9927814d-8b03-470c-9a9c-f595e4359b1b</t>
  </si>
  <si>
    <t>res.room.aggr-ordering</t>
  </si>
  <si>
    <t>800a8cc0-d9bf-4fd1-9cc3-bf2423937b62</t>
  </si>
  <si>
    <t>res.room.aggr-resource</t>
  </si>
  <si>
    <t>909ef8d1-fa69-4143-b424-24bfd4bc3ac5</t>
  </si>
  <si>
    <t>res.room.aggr-tomorrow</t>
  </si>
  <si>
    <t xml:space="preserve"> 夜审实时订单查询</t>
  </si>
  <si>
    <t>res.hotel.night.realtime</t>
  </si>
  <si>
    <t xml:space="preserve">                         取消副本订单</t>
  </si>
  <si>
    <t>res.cancel.result-item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</si>
</sst>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6"/>
      <color theme="1"/>
      <name val="等线 (Body)"/>
      <charset val="134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</font>
    <font>
      <sz val="16"/>
      <color rgb="FF0070C0"/>
      <name val="等线"/>
      <charset val="134"/>
      <scheme val="minor"/>
    </font>
    <font>
      <sz val="16"/>
      <color theme="1"/>
      <name val="等线"/>
      <charset val="134"/>
    </font>
    <font>
      <sz val="12"/>
      <color rgb="FF3F3F76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9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3" borderId="9" applyNumberFormat="0" applyFon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7" borderId="12" applyNumberFormat="0" applyAlignment="0" applyProtection="0">
      <alignment vertical="center"/>
    </xf>
    <xf numFmtId="0" fontId="20" fillId="17" borderId="6" applyNumberFormat="0" applyAlignment="0" applyProtection="0">
      <alignment vertical="center"/>
    </xf>
    <xf numFmtId="0" fontId="21" fillId="18" borderId="13" applyNumberForma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5" fillId="6" borderId="1" xfId="0" applyFont="1" applyFill="1" applyBorder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6" fillId="7" borderId="6" xfId="3" applyFill="1" applyAlignment="1"/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4" fillId="5" borderId="1" xfId="0" applyFont="1" applyFill="1" applyBorder="1"/>
    <xf numFmtId="0" fontId="2" fillId="3" borderId="8" xfId="0" applyFont="1" applyFill="1" applyBorder="1" applyAlignment="1">
      <alignment horizontal="center"/>
    </xf>
    <xf numFmtId="0" fontId="2" fillId="0" borderId="1" xfId="0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tabSelected="1" workbookViewId="0">
      <selection activeCell="B64" sqref="B64"/>
    </sheetView>
  </sheetViews>
  <sheetFormatPr defaultColWidth="11" defaultRowHeight="20.25"/>
  <cols>
    <col min="1" max="1" width="54.8333333333333" style="2" customWidth="1"/>
    <col min="2" max="3" width="54.6666666666667" style="2" customWidth="1"/>
    <col min="4" max="4" width="36.1666666666667" style="3" customWidth="1"/>
    <col min="5" max="5" width="25.5" style="3" customWidth="1"/>
    <col min="6" max="6" width="39.3333333333333" style="3" customWidth="1"/>
    <col min="7" max="7" width="21.6666666666667" style="4" customWidth="1"/>
    <col min="8" max="8" width="16" style="2" customWidth="1"/>
    <col min="9" max="9" width="18.1666666666667" style="2" customWidth="1"/>
    <col min="10" max="10" width="15.5" style="2" customWidth="1"/>
    <col min="11" max="11" width="12.6666666666667" style="2" customWidth="1"/>
    <col min="12" max="12" width="21.1666666666667" style="2" customWidth="1"/>
    <col min="13" max="16384" width="11" style="2"/>
  </cols>
  <sheetData>
    <row r="1" spans="1:1">
      <c r="A1" s="3"/>
    </row>
    <row r="2" s="1" customFormat="1" spans="1:7">
      <c r="A2" s="5" t="s">
        <v>0</v>
      </c>
      <c r="B2" s="6" t="s">
        <v>1</v>
      </c>
      <c r="C2" s="7"/>
      <c r="D2" s="8"/>
      <c r="E2" s="9"/>
      <c r="F2" s="9"/>
      <c r="G2" s="9"/>
    </row>
    <row r="3" s="1" customFormat="1" spans="1:4">
      <c r="A3" s="10" t="s">
        <v>2</v>
      </c>
      <c r="B3" s="10" t="s">
        <v>3</v>
      </c>
      <c r="C3" s="10" t="s">
        <v>4</v>
      </c>
      <c r="D3" s="10" t="s">
        <v>5</v>
      </c>
    </row>
    <row r="4" s="1" customFormat="1" spans="1:4">
      <c r="A4" s="11" t="s">
        <v>6</v>
      </c>
      <c r="B4" s="11" t="s">
        <v>7</v>
      </c>
      <c r="C4" s="11" t="s">
        <v>8</v>
      </c>
      <c r="D4" s="11" t="s">
        <v>9</v>
      </c>
    </row>
    <row r="5" s="1" customFormat="1" spans="1:4">
      <c r="A5" s="12" t="s">
        <v>10</v>
      </c>
      <c r="B5" s="13" t="s">
        <v>11</v>
      </c>
      <c r="C5" s="14" t="s">
        <v>12</v>
      </c>
      <c r="D5" s="15" t="s">
        <v>13</v>
      </c>
    </row>
    <row r="6" s="1" customFormat="1" spans="1:4">
      <c r="A6" s="12" t="s">
        <v>14</v>
      </c>
      <c r="B6" s="13" t="s">
        <v>15</v>
      </c>
      <c r="C6" s="14" t="s">
        <v>12</v>
      </c>
      <c r="D6" s="15" t="s">
        <v>13</v>
      </c>
    </row>
    <row r="7" s="1" customFormat="1" spans="1:4">
      <c r="A7" s="12" t="s">
        <v>16</v>
      </c>
      <c r="B7" s="14" t="s">
        <v>17</v>
      </c>
      <c r="C7" s="14" t="s">
        <v>12</v>
      </c>
      <c r="D7" s="15" t="s">
        <v>13</v>
      </c>
    </row>
    <row r="8" s="1" customFormat="1" spans="1:4">
      <c r="A8" s="12" t="s">
        <v>18</v>
      </c>
      <c r="B8" s="13" t="s">
        <v>19</v>
      </c>
      <c r="C8" s="14" t="s">
        <v>12</v>
      </c>
      <c r="D8" s="15" t="s">
        <v>13</v>
      </c>
    </row>
    <row r="9" s="1" customFormat="1" spans="1:4">
      <c r="A9" s="12" t="s">
        <v>20</v>
      </c>
      <c r="B9" s="14" t="s">
        <v>21</v>
      </c>
      <c r="C9" s="14" t="s">
        <v>22</v>
      </c>
      <c r="D9" s="15" t="s">
        <v>13</v>
      </c>
    </row>
    <row r="10" s="1" customFormat="1" spans="1:4">
      <c r="A10" s="12" t="s">
        <v>23</v>
      </c>
      <c r="B10" s="14" t="s">
        <v>24</v>
      </c>
      <c r="C10" s="14" t="s">
        <v>22</v>
      </c>
      <c r="D10" s="15" t="s">
        <v>13</v>
      </c>
    </row>
    <row r="11" s="1" customFormat="1" spans="1:4">
      <c r="A11" s="12" t="s">
        <v>25</v>
      </c>
      <c r="B11" s="14" t="s">
        <v>26</v>
      </c>
      <c r="C11" s="14" t="s">
        <v>27</v>
      </c>
      <c r="D11" s="15" t="s">
        <v>13</v>
      </c>
    </row>
    <row r="12" s="1" customFormat="1" spans="1:4">
      <c r="A12" s="12" t="s">
        <v>28</v>
      </c>
      <c r="B12" s="14" t="s">
        <v>29</v>
      </c>
      <c r="C12" s="14" t="s">
        <v>27</v>
      </c>
      <c r="D12" s="15" t="s">
        <v>13</v>
      </c>
    </row>
    <row r="13" s="1" customFormat="1" spans="1:4">
      <c r="A13" s="12" t="s">
        <v>30</v>
      </c>
      <c r="B13" s="14" t="s">
        <v>31</v>
      </c>
      <c r="C13" s="14" t="s">
        <v>12</v>
      </c>
      <c r="D13" s="15" t="s">
        <v>13</v>
      </c>
    </row>
    <row r="14" s="1" customFormat="1" spans="1:4">
      <c r="A14" s="12" t="s">
        <v>32</v>
      </c>
      <c r="B14" s="14" t="s">
        <v>33</v>
      </c>
      <c r="C14" s="14" t="s">
        <v>12</v>
      </c>
      <c r="D14" s="15" t="s">
        <v>13</v>
      </c>
    </row>
    <row r="15" s="1" customFormat="1" spans="1:4">
      <c r="A15" s="12" t="s">
        <v>34</v>
      </c>
      <c r="B15" s="14" t="s">
        <v>35</v>
      </c>
      <c r="C15" s="14" t="s">
        <v>12</v>
      </c>
      <c r="D15" s="15" t="s">
        <v>13</v>
      </c>
    </row>
    <row r="16" spans="1:1">
      <c r="A16" s="16"/>
    </row>
    <row r="17" spans="6:7">
      <c r="F17" s="2"/>
      <c r="G17" s="2"/>
    </row>
    <row r="18" spans="1:7">
      <c r="A18" s="17" t="s">
        <v>0</v>
      </c>
      <c r="B18" s="18" t="s">
        <v>36</v>
      </c>
      <c r="C18" s="19" t="s">
        <v>37</v>
      </c>
      <c r="D18" s="20"/>
      <c r="E18" s="20"/>
      <c r="F18" s="2"/>
      <c r="G18" s="2"/>
    </row>
    <row r="19" spans="1:7">
      <c r="A19" s="21" t="s">
        <v>38</v>
      </c>
      <c r="B19" s="21" t="s">
        <v>39</v>
      </c>
      <c r="C19" s="22" t="s">
        <v>40</v>
      </c>
      <c r="D19" s="21" t="s">
        <v>41</v>
      </c>
      <c r="E19" s="21" t="s">
        <v>42</v>
      </c>
      <c r="F19" s="2"/>
      <c r="G19" s="2"/>
    </row>
    <row r="20" spans="1:7">
      <c r="A20" s="23" t="s">
        <v>6</v>
      </c>
      <c r="B20" s="23" t="s">
        <v>8</v>
      </c>
      <c r="C20" s="24" t="s">
        <v>43</v>
      </c>
      <c r="D20" s="23" t="s">
        <v>7</v>
      </c>
      <c r="E20" s="25" t="s">
        <v>44</v>
      </c>
      <c r="F20" s="2"/>
      <c r="G20" s="2"/>
    </row>
    <row r="21" spans="1:7">
      <c r="A21" s="12" t="s">
        <v>45</v>
      </c>
      <c r="B21" s="26" t="s">
        <v>46</v>
      </c>
      <c r="C21" s="27" t="s">
        <v>46</v>
      </c>
      <c r="D21" s="28" t="s">
        <v>11</v>
      </c>
      <c r="E21" s="26" t="s">
        <v>47</v>
      </c>
      <c r="F21" s="2"/>
      <c r="G21" s="2"/>
    </row>
    <row r="22" spans="1:7">
      <c r="A22" s="12" t="s">
        <v>48</v>
      </c>
      <c r="B22" s="26" t="s">
        <v>49</v>
      </c>
      <c r="C22" s="27" t="s">
        <v>49</v>
      </c>
      <c r="D22" s="28" t="s">
        <v>15</v>
      </c>
      <c r="E22" s="26" t="s">
        <v>47</v>
      </c>
      <c r="F22" s="2"/>
      <c r="G22" s="2"/>
    </row>
    <row r="23" spans="1:7">
      <c r="A23" s="12" t="s">
        <v>50</v>
      </c>
      <c r="B23" s="26" t="s">
        <v>51</v>
      </c>
      <c r="C23" s="27" t="s">
        <v>51</v>
      </c>
      <c r="D23" s="28" t="s">
        <v>19</v>
      </c>
      <c r="E23" s="26" t="s">
        <v>52</v>
      </c>
      <c r="F23" s="2"/>
      <c r="G23" s="2"/>
    </row>
    <row r="24" spans="1:7">
      <c r="A24" s="12" t="s">
        <v>53</v>
      </c>
      <c r="B24" s="26" t="s">
        <v>54</v>
      </c>
      <c r="C24" s="27" t="s">
        <v>55</v>
      </c>
      <c r="D24" s="28" t="s">
        <v>21</v>
      </c>
      <c r="E24" s="26" t="s">
        <v>47</v>
      </c>
      <c r="F24" s="2"/>
      <c r="G24" s="2"/>
    </row>
    <row r="25" spans="1:7">
      <c r="A25" s="12" t="s">
        <v>56</v>
      </c>
      <c r="B25" s="26" t="s">
        <v>57</v>
      </c>
      <c r="C25" s="27" t="s">
        <v>57</v>
      </c>
      <c r="D25" s="28" t="s">
        <v>24</v>
      </c>
      <c r="E25" s="26" t="s">
        <v>47</v>
      </c>
      <c r="F25" s="2"/>
      <c r="G25" s="2"/>
    </row>
    <row r="26" spans="1:7">
      <c r="A26" s="12" t="s">
        <v>58</v>
      </c>
      <c r="B26" s="26" t="s">
        <v>59</v>
      </c>
      <c r="C26" s="27" t="s">
        <v>59</v>
      </c>
      <c r="D26" s="28" t="s">
        <v>17</v>
      </c>
      <c r="E26" s="26" t="s">
        <v>47</v>
      </c>
      <c r="F26" s="2"/>
      <c r="G26" s="2"/>
    </row>
    <row r="27" spans="1:7">
      <c r="A27" s="12" t="s">
        <v>60</v>
      </c>
      <c r="B27" s="26" t="s">
        <v>61</v>
      </c>
      <c r="C27" s="27" t="s">
        <v>61</v>
      </c>
      <c r="D27" s="28" t="s">
        <v>26</v>
      </c>
      <c r="E27" s="26" t="s">
        <v>47</v>
      </c>
      <c r="F27" s="29"/>
      <c r="G27" s="2"/>
    </row>
    <row r="28" spans="1:5">
      <c r="A28" s="12" t="s">
        <v>62</v>
      </c>
      <c r="B28" s="26" t="s">
        <v>63</v>
      </c>
      <c r="C28" s="27" t="s">
        <v>63</v>
      </c>
      <c r="D28" s="28" t="s">
        <v>31</v>
      </c>
      <c r="E28" s="26" t="s">
        <v>64</v>
      </c>
    </row>
    <row r="29" spans="1:5">
      <c r="A29" s="12" t="s">
        <v>65</v>
      </c>
      <c r="B29" s="26" t="s">
        <v>66</v>
      </c>
      <c r="C29" s="27" t="s">
        <v>66</v>
      </c>
      <c r="D29" s="14" t="s">
        <v>33</v>
      </c>
      <c r="E29" s="26" t="s">
        <v>67</v>
      </c>
    </row>
    <row r="30" spans="1:5">
      <c r="A30" s="12" t="s">
        <v>68</v>
      </c>
      <c r="B30" s="26" t="s">
        <v>69</v>
      </c>
      <c r="C30" s="27" t="s">
        <v>69</v>
      </c>
      <c r="D30" s="14" t="s">
        <v>35</v>
      </c>
      <c r="E30" s="26" t="s">
        <v>70</v>
      </c>
    </row>
    <row r="31" spans="1:7">
      <c r="A31" s="12" t="s">
        <v>71</v>
      </c>
      <c r="B31" s="26" t="s">
        <v>72</v>
      </c>
      <c r="C31" s="27" t="s">
        <v>72</v>
      </c>
      <c r="D31" s="28" t="s">
        <v>29</v>
      </c>
      <c r="E31" s="26" t="s">
        <v>73</v>
      </c>
      <c r="F31" s="2"/>
      <c r="G31" s="2"/>
    </row>
    <row r="35" spans="1:9">
      <c r="A35" s="17" t="s">
        <v>0</v>
      </c>
      <c r="B35" s="18" t="s">
        <v>74</v>
      </c>
      <c r="C35" s="30" t="s">
        <v>75</v>
      </c>
      <c r="D35" s="31"/>
      <c r="E35" s="31"/>
      <c r="F35" s="31"/>
      <c r="G35" s="31"/>
      <c r="H35" s="31"/>
      <c r="I35" s="31"/>
    </row>
    <row r="36" spans="1:9">
      <c r="A36" s="21" t="s">
        <v>76</v>
      </c>
      <c r="B36" s="21" t="s">
        <v>77</v>
      </c>
      <c r="C36" s="21" t="s">
        <v>78</v>
      </c>
      <c r="D36" s="21" t="s">
        <v>79</v>
      </c>
      <c r="E36" s="21" t="s">
        <v>80</v>
      </c>
      <c r="F36" s="21" t="s">
        <v>81</v>
      </c>
      <c r="G36" s="21" t="s">
        <v>82</v>
      </c>
      <c r="H36" s="21" t="s">
        <v>83</v>
      </c>
      <c r="I36" s="21" t="s">
        <v>84</v>
      </c>
    </row>
    <row r="37" spans="1:9">
      <c r="A37" s="23" t="s">
        <v>6</v>
      </c>
      <c r="B37" s="23" t="s">
        <v>85</v>
      </c>
      <c r="C37" s="23" t="s">
        <v>86</v>
      </c>
      <c r="D37" s="32" t="s">
        <v>7</v>
      </c>
      <c r="E37" s="23" t="s">
        <v>87</v>
      </c>
      <c r="F37" s="32" t="s">
        <v>88</v>
      </c>
      <c r="G37" s="23" t="s">
        <v>8</v>
      </c>
      <c r="H37" s="23" t="s">
        <v>89</v>
      </c>
      <c r="I37" s="23" t="s">
        <v>90</v>
      </c>
    </row>
    <row r="38" spans="1:9">
      <c r="A38" s="12" t="s">
        <v>91</v>
      </c>
      <c r="B38" s="33" t="str">
        <f>A69</f>
        <v>759b3a99-036f-47ae-894c-107f23abd964</v>
      </c>
      <c r="C38" s="33" t="str">
        <f>A21</f>
        <v>c969e63f-b041-4a0c-83a6-0e299a4baece</v>
      </c>
      <c r="D38" s="27" t="s">
        <v>92</v>
      </c>
      <c r="E38" s="26" t="s">
        <v>93</v>
      </c>
      <c r="F38" s="27" t="s">
        <v>94</v>
      </c>
      <c r="G38" s="26" t="str">
        <f t="shared" ref="G38:G43" si="0">B21</f>
        <v>提交预定</v>
      </c>
      <c r="H38" s="26">
        <v>4</v>
      </c>
      <c r="I38" s="26"/>
    </row>
    <row r="39" spans="1:9">
      <c r="A39" s="12" t="s">
        <v>95</v>
      </c>
      <c r="B39" s="33" t="str">
        <f t="shared" ref="B38:B40" si="1">A70</f>
        <v>568493f5-7006-4149-a4f7-929680ef7ab1</v>
      </c>
      <c r="C39" s="33" t="str">
        <f>A22</f>
        <v>615fc714-d5e3-4d9b-962a-4b45bdc204ad</v>
      </c>
      <c r="D39" s="27" t="s">
        <v>96</v>
      </c>
      <c r="E39" s="26" t="s">
        <v>93</v>
      </c>
      <c r="F39" s="27" t="s">
        <v>97</v>
      </c>
      <c r="G39" s="26" t="str">
        <f t="shared" si="0"/>
        <v>直接预定</v>
      </c>
      <c r="H39" s="26">
        <v>4</v>
      </c>
      <c r="I39" s="26"/>
    </row>
    <row r="40" spans="1:9">
      <c r="A40" s="12" t="s">
        <v>98</v>
      </c>
      <c r="B40" s="33" t="str">
        <f t="shared" si="1"/>
        <v>f135fd82-68d7-4cd4-942b-557feb0db117</v>
      </c>
      <c r="C40" s="33" t="str">
        <f>A23</f>
        <v>2dd306f8-321a-4c14-9691-43f4229ee0c4</v>
      </c>
      <c r="D40" s="27" t="s">
        <v>99</v>
      </c>
      <c r="E40" s="26" t="s">
        <v>100</v>
      </c>
      <c r="F40" s="27" t="s">
        <v>101</v>
      </c>
      <c r="G40" s="26" t="str">
        <f t="shared" si="0"/>
        <v>保存排房</v>
      </c>
      <c r="H40" s="26">
        <v>11</v>
      </c>
      <c r="I40" s="26"/>
    </row>
    <row r="41" spans="1:9">
      <c r="A41" s="12" t="s">
        <v>102</v>
      </c>
      <c r="B41" s="33" t="str">
        <f>A88</f>
        <v>cfcdd388-e6e7-45cc-9fd0-d4e14776d0e8</v>
      </c>
      <c r="C41" s="33" t="str">
        <f>A24</f>
        <v>c2da32f8-2997-411b-ab39-fd037147c06c</v>
      </c>
      <c r="D41" s="27" t="s">
        <v>103</v>
      </c>
      <c r="E41" s="26" t="s">
        <v>104</v>
      </c>
      <c r="F41" s="27" t="s">
        <v>105</v>
      </c>
      <c r="G41" s="26" t="str">
        <f t="shared" si="0"/>
        <v>按房号读订单</v>
      </c>
      <c r="H41" s="26">
        <v>1</v>
      </c>
      <c r="I41" s="26"/>
    </row>
    <row r="42" spans="1:9">
      <c r="A42" s="12" t="s">
        <v>106</v>
      </c>
      <c r="B42" s="33" t="str">
        <f>A72</f>
        <v>ae1b800b-8ead-4eb1-9704-7ee1a6f7c4c4</v>
      </c>
      <c r="C42" s="33" t="str">
        <f>A25</f>
        <v>f96662f1-e1ae-450e-abee-afc99870c935</v>
      </c>
      <c r="D42" s="27" t="s">
        <v>107</v>
      </c>
      <c r="E42" s="26" t="s">
        <v>104</v>
      </c>
      <c r="F42" s="27" t="s">
        <v>108</v>
      </c>
      <c r="G42" s="26" t="str">
        <f t="shared" si="0"/>
        <v>按排房读订单</v>
      </c>
      <c r="H42" s="26">
        <v>1</v>
      </c>
      <c r="I42" s="26"/>
    </row>
    <row r="43" spans="1:9">
      <c r="A43" s="12" t="s">
        <v>109</v>
      </c>
      <c r="B43" s="33" t="str">
        <f>A73</f>
        <v>bfde9ba9-d6fa-4736-b759-bffdd29698e4</v>
      </c>
      <c r="C43" s="33" t="str">
        <f>A$26</f>
        <v>e6abb842-0126-49fa-8bcf-c93d140321df</v>
      </c>
      <c r="D43" s="27" t="s">
        <v>110</v>
      </c>
      <c r="E43" s="26" t="s">
        <v>100</v>
      </c>
      <c r="F43" s="27" t="s">
        <v>111</v>
      </c>
      <c r="G43" s="26" t="str">
        <f t="shared" si="0"/>
        <v>办理入住</v>
      </c>
      <c r="H43" s="26">
        <v>8</v>
      </c>
      <c r="I43" s="26"/>
    </row>
    <row r="44" spans="1:9">
      <c r="A44" s="12" t="s">
        <v>112</v>
      </c>
      <c r="B44" s="33" t="str">
        <f>A74</f>
        <v>ceea4be4-f3e4-4820-837b-50f22901375d</v>
      </c>
      <c r="C44" s="33" t="str">
        <f>A$26</f>
        <v>e6abb842-0126-49fa-8bcf-c93d140321df</v>
      </c>
      <c r="D44" s="27" t="s">
        <v>113</v>
      </c>
      <c r="E44" s="26" t="s">
        <v>100</v>
      </c>
      <c r="F44" s="27" t="s">
        <v>114</v>
      </c>
      <c r="G44" s="26" t="s">
        <v>115</v>
      </c>
      <c r="H44" s="26">
        <v>8</v>
      </c>
      <c r="I44" s="26"/>
    </row>
    <row r="45" spans="1:9">
      <c r="A45" s="12" t="s">
        <v>116</v>
      </c>
      <c r="B45" s="33" t="str">
        <f>A75</f>
        <v>1d184469-2cc3-4306-b136-d6f3e0e921a5</v>
      </c>
      <c r="C45" s="33" t="str">
        <f>A$27</f>
        <v>930f42ea-429a-4d55-a780-e8940a423018</v>
      </c>
      <c r="D45" s="27" t="s">
        <v>117</v>
      </c>
      <c r="E45" s="26" t="s">
        <v>100</v>
      </c>
      <c r="F45" s="27" t="s">
        <v>118</v>
      </c>
      <c r="G45" s="26" t="str">
        <f>B27</f>
        <v>状态更新</v>
      </c>
      <c r="H45" s="26">
        <v>8</v>
      </c>
      <c r="I45" s="26"/>
    </row>
    <row r="46" spans="1:9">
      <c r="A46" s="12" t="s">
        <v>119</v>
      </c>
      <c r="B46" s="33" t="str">
        <f>A76</f>
        <v>e87f9da1-ae4b-43f4-9a73-fa790b6dad3d</v>
      </c>
      <c r="C46" s="33" t="str">
        <f t="shared" ref="C46:C49" si="2">A$27</f>
        <v>930f42ea-429a-4d55-a780-e8940a423018</v>
      </c>
      <c r="D46" s="27" t="s">
        <v>120</v>
      </c>
      <c r="E46" s="26" t="s">
        <v>93</v>
      </c>
      <c r="F46" s="27" t="s">
        <v>121</v>
      </c>
      <c r="G46" s="26" t="s">
        <v>122</v>
      </c>
      <c r="H46" s="26">
        <v>4</v>
      </c>
      <c r="I46" s="26"/>
    </row>
    <row r="47" spans="1:9">
      <c r="A47" s="12" t="s">
        <v>123</v>
      </c>
      <c r="B47" s="33" t="str">
        <f t="shared" ref="B46:B49" si="3">A77</f>
        <v>13ddddaf-2f3d-4ad3-a17a-3ab27a169aeb</v>
      </c>
      <c r="C47" s="33" t="str">
        <f t="shared" si="2"/>
        <v>930f42ea-429a-4d55-a780-e8940a423018</v>
      </c>
      <c r="D47" s="27" t="s">
        <v>124</v>
      </c>
      <c r="E47" s="26" t="s">
        <v>93</v>
      </c>
      <c r="F47" s="27" t="s">
        <v>125</v>
      </c>
      <c r="G47" s="26" t="s">
        <v>126</v>
      </c>
      <c r="H47" s="26">
        <v>4</v>
      </c>
      <c r="I47" s="26"/>
    </row>
    <row r="48" spans="1:9">
      <c r="A48" s="12" t="s">
        <v>127</v>
      </c>
      <c r="B48" s="33" t="str">
        <f t="shared" si="3"/>
        <v>eb2a8743-91a3-4ec0-a37e-61080acdafaa</v>
      </c>
      <c r="C48" s="33" t="str">
        <f t="shared" si="2"/>
        <v>930f42ea-429a-4d55-a780-e8940a423018</v>
      </c>
      <c r="D48" s="27" t="s">
        <v>128</v>
      </c>
      <c r="E48" s="26" t="s">
        <v>93</v>
      </c>
      <c r="F48" s="27" t="s">
        <v>129</v>
      </c>
      <c r="G48" s="26" t="s">
        <v>130</v>
      </c>
      <c r="H48" s="26">
        <v>4</v>
      </c>
      <c r="I48" s="26"/>
    </row>
    <row r="49" spans="1:9">
      <c r="A49" s="12" t="s">
        <v>131</v>
      </c>
      <c r="B49" s="33" t="str">
        <f t="shared" si="3"/>
        <v>ec02a97c-91c7-4186-86ca-3c5f5ab15b98</v>
      </c>
      <c r="C49" s="33" t="str">
        <f t="shared" si="2"/>
        <v>930f42ea-429a-4d55-a780-e8940a423018</v>
      </c>
      <c r="D49" s="27" t="s">
        <v>132</v>
      </c>
      <c r="E49" s="26" t="s">
        <v>93</v>
      </c>
      <c r="F49" s="27" t="s">
        <v>133</v>
      </c>
      <c r="G49" s="26" t="s">
        <v>134</v>
      </c>
      <c r="H49" s="26">
        <v>4</v>
      </c>
      <c r="I49" s="26"/>
    </row>
    <row r="50" spans="1:9">
      <c r="A50" s="12" t="s">
        <v>135</v>
      </c>
      <c r="B50" s="33" t="str">
        <f t="shared" ref="B50:B52" si="4">A80</f>
        <v>714eec8a-d2b8-4ae7-a2c8-68307f80e852</v>
      </c>
      <c r="C50" s="33" t="str">
        <f>A28</f>
        <v>513fafc8-4bfc-48aa-8fa3-dfc2188503b3</v>
      </c>
      <c r="D50" s="27" t="s">
        <v>136</v>
      </c>
      <c r="E50" s="26" t="s">
        <v>93</v>
      </c>
      <c r="F50" s="27" t="s">
        <v>137</v>
      </c>
      <c r="G50" s="26" t="str">
        <f>B28</f>
        <v>退房操作</v>
      </c>
      <c r="H50" s="26">
        <v>8</v>
      </c>
      <c r="I50" s="26"/>
    </row>
    <row r="51" spans="1:9">
      <c r="A51" s="12" t="s">
        <v>138</v>
      </c>
      <c r="B51" s="33" t="str">
        <f t="shared" si="4"/>
        <v>194bc1d9-7ec5-4efc-bbfd-da2683d36605</v>
      </c>
      <c r="C51" s="33" t="str">
        <f>A29</f>
        <v>54f3fb56-21ae-4e8b-b69b-aa63fcab4f57</v>
      </c>
      <c r="D51" s="27" t="s">
        <v>139</v>
      </c>
      <c r="E51" s="26" t="s">
        <v>93</v>
      </c>
      <c r="F51" s="27" t="s">
        <v>140</v>
      </c>
      <c r="G51" s="26" t="str">
        <f>B29</f>
        <v>哑房账本初始化</v>
      </c>
      <c r="H51" s="26">
        <v>1</v>
      </c>
      <c r="I51" s="26"/>
    </row>
    <row r="52" spans="1:9">
      <c r="A52" s="12" t="s">
        <v>141</v>
      </c>
      <c r="B52" s="33" t="str">
        <f t="shared" si="4"/>
        <v>8f8bf0dc-dc7e-4b90-b519-a649a46426d0</v>
      </c>
      <c r="C52" s="33" t="str">
        <f>A$30</f>
        <v>d34a0e3b-561e-4b61-9841-d3390d672c76</v>
      </c>
      <c r="D52" s="27" t="s">
        <v>142</v>
      </c>
      <c r="E52" s="26" t="s">
        <v>100</v>
      </c>
      <c r="F52" s="27" t="s">
        <v>143</v>
      </c>
      <c r="G52" s="26" t="s">
        <v>144</v>
      </c>
      <c r="H52" s="26">
        <v>8</v>
      </c>
      <c r="I52" s="26"/>
    </row>
    <row r="53" spans="1:9">
      <c r="A53" s="12" t="s">
        <v>145</v>
      </c>
      <c r="B53" s="33" t="str">
        <f t="shared" ref="B53:B56" si="5">A83</f>
        <v>8f9f5963-ac3c-4011-bd55-60af392879ff</v>
      </c>
      <c r="C53" s="33" t="str">
        <f>A$30</f>
        <v>d34a0e3b-561e-4b61-9841-d3390d672c76</v>
      </c>
      <c r="D53" s="27" t="s">
        <v>146</v>
      </c>
      <c r="E53" s="26" t="s">
        <v>100</v>
      </c>
      <c r="F53" s="27" t="s">
        <v>147</v>
      </c>
      <c r="G53" s="26" t="s">
        <v>148</v>
      </c>
      <c r="H53" s="26">
        <v>8</v>
      </c>
      <c r="I53" s="26"/>
    </row>
    <row r="54" spans="1:9">
      <c r="A54" s="12" t="s">
        <v>149</v>
      </c>
      <c r="B54" s="33" t="str">
        <f t="shared" si="5"/>
        <v>8760c537-1002-46a7-b136-30699fed5c6c</v>
      </c>
      <c r="C54" s="33" t="str">
        <f t="shared" ref="C54:C56" si="6">A$30</f>
        <v>d34a0e3b-561e-4b61-9841-d3390d672c76</v>
      </c>
      <c r="D54" s="27" t="s">
        <v>150</v>
      </c>
      <c r="E54" s="26" t="s">
        <v>104</v>
      </c>
      <c r="F54" s="27" t="s">
        <v>151</v>
      </c>
      <c r="G54" s="26" t="s">
        <v>152</v>
      </c>
      <c r="H54" s="26">
        <v>1</v>
      </c>
      <c r="I54" s="26"/>
    </row>
    <row r="55" spans="1:9">
      <c r="A55" s="12" t="s">
        <v>153</v>
      </c>
      <c r="B55" s="33" t="str">
        <f t="shared" si="5"/>
        <v>33e457bb-72b3-4f3f-a027-18b892d34f03</v>
      </c>
      <c r="C55" s="33" t="str">
        <f t="shared" si="6"/>
        <v>d34a0e3b-561e-4b61-9841-d3390d672c76</v>
      </c>
      <c r="D55" s="27" t="s">
        <v>154</v>
      </c>
      <c r="E55" s="26" t="s">
        <v>100</v>
      </c>
      <c r="F55" s="27" t="s">
        <v>155</v>
      </c>
      <c r="G55" s="26" t="s">
        <v>156</v>
      </c>
      <c r="H55" s="26">
        <v>8</v>
      </c>
      <c r="I55" s="26"/>
    </row>
    <row r="56" spans="1:9">
      <c r="A56" s="12" t="s">
        <v>157</v>
      </c>
      <c r="B56" s="33" t="str">
        <f t="shared" si="5"/>
        <v>02115bc7-e4e5-4ddd-8cd9-79533ce266de</v>
      </c>
      <c r="C56" s="33" t="str">
        <f t="shared" si="6"/>
        <v>d34a0e3b-561e-4b61-9841-d3390d672c76</v>
      </c>
      <c r="D56" s="27" t="s">
        <v>158</v>
      </c>
      <c r="E56" s="26" t="s">
        <v>104</v>
      </c>
      <c r="F56" s="27" t="s">
        <v>155</v>
      </c>
      <c r="G56" s="26" t="s">
        <v>159</v>
      </c>
      <c r="H56" s="26">
        <v>1</v>
      </c>
      <c r="I56" s="26"/>
    </row>
    <row r="57" spans="1:9">
      <c r="A57" s="12" t="s">
        <v>160</v>
      </c>
      <c r="B57" s="33" t="str">
        <f t="shared" ref="B57" si="7">A87</f>
        <v>0477d8df-8888-4387-be13-58c27105912b</v>
      </c>
      <c r="C57" s="33" t="str">
        <f t="shared" ref="C57" si="8">A$30</f>
        <v>d34a0e3b-561e-4b61-9841-d3390d672c76</v>
      </c>
      <c r="D57" s="27" t="s">
        <v>161</v>
      </c>
      <c r="E57" s="26" t="s">
        <v>93</v>
      </c>
      <c r="F57" s="27" t="s">
        <v>162</v>
      </c>
      <c r="G57" s="26" t="s">
        <v>163</v>
      </c>
      <c r="H57" s="26">
        <v>1</v>
      </c>
      <c r="I57" s="26"/>
    </row>
    <row r="58" spans="1:9">
      <c r="A58" s="12" t="s">
        <v>164</v>
      </c>
      <c r="B58" s="33" t="str">
        <f>A89</f>
        <v>9927814d-8b03-470c-9a9c-f595e4359b1b</v>
      </c>
      <c r="C58" s="33" t="str">
        <f>A$31</f>
        <v>67fa14b5-72f6-4c94-a63d-4ba7850764a7</v>
      </c>
      <c r="D58" s="27" t="s">
        <v>165</v>
      </c>
      <c r="E58" s="26" t="s">
        <v>93</v>
      </c>
      <c r="F58" s="27" t="s">
        <v>166</v>
      </c>
      <c r="G58" s="26" t="s">
        <v>167</v>
      </c>
      <c r="H58" s="26">
        <v>1</v>
      </c>
      <c r="I58" s="26"/>
    </row>
    <row r="59" spans="1:9">
      <c r="A59" s="12" t="s">
        <v>168</v>
      </c>
      <c r="B59" s="33" t="str">
        <f>'DATA-PERM'!A90</f>
        <v>800a8cc0-d9bf-4fd1-9cc3-bf2423937b62</v>
      </c>
      <c r="C59" s="33" t="str">
        <f>A$31</f>
        <v>67fa14b5-72f6-4c94-a63d-4ba7850764a7</v>
      </c>
      <c r="D59" s="27" t="s">
        <v>169</v>
      </c>
      <c r="E59" s="26" t="s">
        <v>93</v>
      </c>
      <c r="F59" s="27" t="s">
        <v>170</v>
      </c>
      <c r="G59" s="26" t="s">
        <v>171</v>
      </c>
      <c r="H59" s="26">
        <v>1</v>
      </c>
      <c r="I59" s="26"/>
    </row>
    <row r="60" spans="1:9">
      <c r="A60" s="12" t="s">
        <v>172</v>
      </c>
      <c r="B60" s="33" t="str">
        <f>'DATA-PERM'!A91</f>
        <v>909ef8d1-fa69-4143-b424-24bfd4bc3ac5</v>
      </c>
      <c r="C60" s="33" t="str">
        <f>A$31</f>
        <v>67fa14b5-72f6-4c94-a63d-4ba7850764a7</v>
      </c>
      <c r="D60" s="27" t="s">
        <v>173</v>
      </c>
      <c r="E60" s="26" t="s">
        <v>93</v>
      </c>
      <c r="F60" s="27" t="s">
        <v>174</v>
      </c>
      <c r="G60" s="26" t="s">
        <v>175</v>
      </c>
      <c r="H60" s="26">
        <v>1</v>
      </c>
      <c r="I60" s="26"/>
    </row>
    <row r="61" spans="1:9">
      <c r="A61" s="12" t="s">
        <v>176</v>
      </c>
      <c r="B61" s="33" t="s">
        <v>177</v>
      </c>
      <c r="C61" s="33" t="s">
        <v>68</v>
      </c>
      <c r="D61" s="27" t="s">
        <v>178</v>
      </c>
      <c r="E61" s="26" t="s">
        <v>93</v>
      </c>
      <c r="F61" s="27" t="s">
        <v>179</v>
      </c>
      <c r="G61" s="26" t="s">
        <v>180</v>
      </c>
      <c r="H61" s="26">
        <v>1</v>
      </c>
      <c r="I61" s="26"/>
    </row>
    <row r="62" spans="1:9">
      <c r="A62" s="12" t="s">
        <v>181</v>
      </c>
      <c r="B62" s="33" t="s">
        <v>182</v>
      </c>
      <c r="C62" s="33" t="s">
        <v>68</v>
      </c>
      <c r="D62" s="27" t="s">
        <v>183</v>
      </c>
      <c r="E62" s="26" t="s">
        <v>93</v>
      </c>
      <c r="F62" s="27" t="s">
        <v>184</v>
      </c>
      <c r="G62" s="26" t="s">
        <v>185</v>
      </c>
      <c r="H62" s="26">
        <v>1</v>
      </c>
      <c r="I62" s="26"/>
    </row>
    <row r="63" spans="1:11">
      <c r="A63" s="3"/>
      <c r="B63" s="2"/>
      <c r="C63" s="3"/>
      <c r="D63" s="4"/>
      <c r="E63" s="2"/>
      <c r="F63" s="4"/>
      <c r="G63" s="2"/>
      <c r="H63" s="2"/>
      <c r="I63" s="2"/>
      <c r="K63" s="3"/>
    </row>
    <row r="64" spans="1:11">
      <c r="A64" s="3"/>
      <c r="B64" s="2"/>
      <c r="C64" s="3"/>
      <c r="D64" s="4"/>
      <c r="E64" s="2"/>
      <c r="F64" s="4"/>
      <c r="G64" s="2"/>
      <c r="H64" s="2"/>
      <c r="I64" s="2"/>
      <c r="K64" s="3"/>
    </row>
    <row r="65" spans="1:11">
      <c r="A65" s="3"/>
      <c r="B65" s="2"/>
      <c r="C65" s="3"/>
      <c r="D65" s="4"/>
      <c r="E65" s="2"/>
      <c r="F65" s="4"/>
      <c r="G65" s="2"/>
      <c r="H65" s="2"/>
      <c r="I65" s="2"/>
      <c r="K65" s="3"/>
    </row>
    <row r="66" spans="1:9">
      <c r="A66" s="17" t="s">
        <v>0</v>
      </c>
      <c r="B66" s="18" t="s">
        <v>186</v>
      </c>
      <c r="C66" s="19" t="s">
        <v>75</v>
      </c>
      <c r="D66" s="20"/>
      <c r="E66" s="20"/>
      <c r="F66" s="20"/>
      <c r="G66" s="20"/>
      <c r="H66" s="20"/>
      <c r="I66" s="20"/>
    </row>
    <row r="67" spans="1:9">
      <c r="A67" s="21" t="s">
        <v>187</v>
      </c>
      <c r="B67" s="21" t="s">
        <v>188</v>
      </c>
      <c r="C67" s="34" t="s">
        <v>189</v>
      </c>
      <c r="D67" s="21" t="s">
        <v>190</v>
      </c>
      <c r="E67" s="21" t="s">
        <v>42</v>
      </c>
      <c r="F67" s="22" t="s">
        <v>191</v>
      </c>
      <c r="G67" s="34" t="s">
        <v>192</v>
      </c>
      <c r="H67" s="34" t="s">
        <v>193</v>
      </c>
      <c r="I67" s="34" t="s">
        <v>194</v>
      </c>
    </row>
    <row r="68" spans="1:9">
      <c r="A68" s="23" t="s">
        <v>6</v>
      </c>
      <c r="B68" s="23" t="s">
        <v>8</v>
      </c>
      <c r="C68" s="23" t="s">
        <v>195</v>
      </c>
      <c r="D68" s="32" t="s">
        <v>7</v>
      </c>
      <c r="E68" s="25" t="s">
        <v>44</v>
      </c>
      <c r="F68" s="25" t="s">
        <v>9</v>
      </c>
      <c r="G68" s="23" t="s">
        <v>89</v>
      </c>
      <c r="H68" s="23" t="s">
        <v>196</v>
      </c>
      <c r="I68" s="23" t="s">
        <v>197</v>
      </c>
    </row>
    <row r="69" spans="1:9">
      <c r="A69" s="12" t="s">
        <v>198</v>
      </c>
      <c r="B69" s="26" t="s">
        <v>46</v>
      </c>
      <c r="C69" s="26" t="s">
        <v>199</v>
      </c>
      <c r="D69" s="27" t="s">
        <v>200</v>
      </c>
      <c r="E69" s="26" t="s">
        <v>47</v>
      </c>
      <c r="F69" s="26" t="s">
        <v>201</v>
      </c>
      <c r="G69" s="26">
        <v>4</v>
      </c>
      <c r="H69" s="26"/>
      <c r="I69" s="26"/>
    </row>
    <row r="70" spans="1:9">
      <c r="A70" s="12" t="s">
        <v>202</v>
      </c>
      <c r="B70" s="26" t="s">
        <v>49</v>
      </c>
      <c r="C70" s="26" t="s">
        <v>199</v>
      </c>
      <c r="D70" s="27" t="s">
        <v>203</v>
      </c>
      <c r="E70" s="26" t="s">
        <v>47</v>
      </c>
      <c r="F70" s="26" t="s">
        <v>201</v>
      </c>
      <c r="G70" s="26">
        <v>4</v>
      </c>
      <c r="H70" s="26"/>
      <c r="I70" s="26"/>
    </row>
    <row r="71" spans="1:9">
      <c r="A71" s="12" t="s">
        <v>204</v>
      </c>
      <c r="B71" s="26" t="s">
        <v>51</v>
      </c>
      <c r="C71" s="26" t="s">
        <v>199</v>
      </c>
      <c r="D71" s="27" t="s">
        <v>205</v>
      </c>
      <c r="E71" s="26" t="s">
        <v>52</v>
      </c>
      <c r="F71" s="26" t="s">
        <v>201</v>
      </c>
      <c r="G71" s="26">
        <v>11</v>
      </c>
      <c r="H71" s="26"/>
      <c r="I71" s="26"/>
    </row>
    <row r="72" spans="1:9">
      <c r="A72" s="12" t="s">
        <v>206</v>
      </c>
      <c r="B72" s="26" t="s">
        <v>57</v>
      </c>
      <c r="C72" s="26" t="s">
        <v>199</v>
      </c>
      <c r="D72" s="27" t="s">
        <v>207</v>
      </c>
      <c r="E72" s="26" t="s">
        <v>47</v>
      </c>
      <c r="F72" s="26" t="s">
        <v>201</v>
      </c>
      <c r="G72" s="26">
        <v>1</v>
      </c>
      <c r="H72" s="26"/>
      <c r="I72" s="26"/>
    </row>
    <row r="73" spans="1:9">
      <c r="A73" s="12" t="s">
        <v>208</v>
      </c>
      <c r="B73" s="26" t="s">
        <v>59</v>
      </c>
      <c r="C73" s="26" t="s">
        <v>199</v>
      </c>
      <c r="D73" s="27" t="s">
        <v>209</v>
      </c>
      <c r="E73" s="26" t="s">
        <v>47</v>
      </c>
      <c r="F73" s="26" t="s">
        <v>201</v>
      </c>
      <c r="G73" s="26">
        <v>8</v>
      </c>
      <c r="H73" s="26"/>
      <c r="I73" s="26"/>
    </row>
    <row r="74" spans="1:9">
      <c r="A74" s="12" t="s">
        <v>210</v>
      </c>
      <c r="B74" s="26" t="s">
        <v>115</v>
      </c>
      <c r="C74" s="26" t="s">
        <v>199</v>
      </c>
      <c r="D74" s="27" t="s">
        <v>211</v>
      </c>
      <c r="E74" s="26" t="s">
        <v>47</v>
      </c>
      <c r="F74" s="26" t="s">
        <v>201</v>
      </c>
      <c r="G74" s="26">
        <v>8</v>
      </c>
      <c r="H74" s="26"/>
      <c r="I74" s="26"/>
    </row>
    <row r="75" spans="1:9">
      <c r="A75" s="12" t="s">
        <v>212</v>
      </c>
      <c r="B75" s="26" t="s">
        <v>61</v>
      </c>
      <c r="C75" s="26" t="s">
        <v>199</v>
      </c>
      <c r="D75" s="27" t="s">
        <v>213</v>
      </c>
      <c r="E75" s="26" t="s">
        <v>47</v>
      </c>
      <c r="F75" s="26" t="s">
        <v>201</v>
      </c>
      <c r="G75" s="26">
        <v>8</v>
      </c>
      <c r="H75" s="26"/>
      <c r="I75" s="26"/>
    </row>
    <row r="76" spans="1:9">
      <c r="A76" s="12" t="s">
        <v>214</v>
      </c>
      <c r="B76" s="26" t="s">
        <v>122</v>
      </c>
      <c r="C76" s="26" t="s">
        <v>199</v>
      </c>
      <c r="D76" s="27" t="s">
        <v>215</v>
      </c>
      <c r="E76" s="26" t="s">
        <v>47</v>
      </c>
      <c r="F76" s="26" t="s">
        <v>201</v>
      </c>
      <c r="G76" s="26">
        <v>4</v>
      </c>
      <c r="H76" s="26"/>
      <c r="I76" s="26"/>
    </row>
    <row r="77" spans="1:9">
      <c r="A77" s="12" t="s">
        <v>216</v>
      </c>
      <c r="B77" s="26" t="s">
        <v>126</v>
      </c>
      <c r="C77" s="26" t="s">
        <v>199</v>
      </c>
      <c r="D77" s="27" t="s">
        <v>217</v>
      </c>
      <c r="E77" s="26" t="s">
        <v>47</v>
      </c>
      <c r="F77" s="26" t="s">
        <v>201</v>
      </c>
      <c r="G77" s="26">
        <v>4</v>
      </c>
      <c r="H77" s="26"/>
      <c r="I77" s="26"/>
    </row>
    <row r="78" spans="1:9">
      <c r="A78" s="12" t="s">
        <v>218</v>
      </c>
      <c r="B78" s="26" t="s">
        <v>130</v>
      </c>
      <c r="C78" s="26" t="s">
        <v>199</v>
      </c>
      <c r="D78" s="27" t="s">
        <v>219</v>
      </c>
      <c r="E78" s="26" t="s">
        <v>52</v>
      </c>
      <c r="F78" s="26" t="s">
        <v>201</v>
      </c>
      <c r="G78" s="26">
        <v>4</v>
      </c>
      <c r="H78" s="26"/>
      <c r="I78" s="26"/>
    </row>
    <row r="79" spans="1:9">
      <c r="A79" s="12" t="s">
        <v>220</v>
      </c>
      <c r="B79" s="26" t="s">
        <v>134</v>
      </c>
      <c r="C79" s="26" t="s">
        <v>199</v>
      </c>
      <c r="D79" s="27" t="s">
        <v>221</v>
      </c>
      <c r="E79" s="26" t="s">
        <v>222</v>
      </c>
      <c r="F79" s="26" t="s">
        <v>201</v>
      </c>
      <c r="G79" s="26">
        <v>4</v>
      </c>
      <c r="H79" s="26"/>
      <c r="I79" s="26"/>
    </row>
    <row r="80" spans="1:9">
      <c r="A80" s="12" t="s">
        <v>223</v>
      </c>
      <c r="B80" s="26" t="s">
        <v>63</v>
      </c>
      <c r="C80" s="26" t="s">
        <v>199</v>
      </c>
      <c r="D80" s="27" t="s">
        <v>224</v>
      </c>
      <c r="E80" s="26" t="s">
        <v>225</v>
      </c>
      <c r="F80" s="26" t="s">
        <v>201</v>
      </c>
      <c r="G80" s="26">
        <v>8</v>
      </c>
      <c r="H80" s="26"/>
      <c r="I80" s="26"/>
    </row>
    <row r="81" spans="1:11">
      <c r="A81" s="12" t="s">
        <v>226</v>
      </c>
      <c r="B81" s="26" t="s">
        <v>66</v>
      </c>
      <c r="C81" s="26" t="s">
        <v>199</v>
      </c>
      <c r="D81" s="27" t="s">
        <v>227</v>
      </c>
      <c r="E81" s="26" t="s">
        <v>67</v>
      </c>
      <c r="F81" s="26" t="s">
        <v>201</v>
      </c>
      <c r="G81" s="26">
        <v>1</v>
      </c>
      <c r="H81" s="26"/>
      <c r="I81" s="26"/>
      <c r="K81" s="3"/>
    </row>
    <row r="82" spans="1:11">
      <c r="A82" s="12" t="s">
        <v>228</v>
      </c>
      <c r="B82" s="26" t="s">
        <v>144</v>
      </c>
      <c r="C82" s="26" t="s">
        <v>199</v>
      </c>
      <c r="D82" s="27" t="s">
        <v>229</v>
      </c>
      <c r="E82" s="26" t="s">
        <v>70</v>
      </c>
      <c r="F82" s="26" t="s">
        <v>201</v>
      </c>
      <c r="G82" s="26">
        <v>8</v>
      </c>
      <c r="H82" s="26"/>
      <c r="I82" s="26"/>
      <c r="K82" s="3"/>
    </row>
    <row r="83" spans="1:11">
      <c r="A83" s="12" t="s">
        <v>230</v>
      </c>
      <c r="B83" s="26" t="s">
        <v>148</v>
      </c>
      <c r="C83" s="26" t="s">
        <v>199</v>
      </c>
      <c r="D83" s="27" t="s">
        <v>231</v>
      </c>
      <c r="E83" s="26" t="s">
        <v>70</v>
      </c>
      <c r="F83" s="26" t="s">
        <v>201</v>
      </c>
      <c r="G83" s="26">
        <v>8</v>
      </c>
      <c r="H83" s="26"/>
      <c r="I83" s="26"/>
      <c r="K83" s="3"/>
    </row>
    <row r="84" spans="1:11">
      <c r="A84" s="12" t="s">
        <v>232</v>
      </c>
      <c r="B84" s="26" t="s">
        <v>152</v>
      </c>
      <c r="C84" s="26" t="s">
        <v>199</v>
      </c>
      <c r="D84" s="27" t="s">
        <v>233</v>
      </c>
      <c r="E84" s="26" t="s">
        <v>70</v>
      </c>
      <c r="F84" s="26" t="s">
        <v>201</v>
      </c>
      <c r="G84" s="26">
        <v>1</v>
      </c>
      <c r="H84" s="26"/>
      <c r="I84" s="26"/>
      <c r="K84" s="3"/>
    </row>
    <row r="85" spans="1:9">
      <c r="A85" s="12" t="s">
        <v>234</v>
      </c>
      <c r="B85" s="26" t="s">
        <v>156</v>
      </c>
      <c r="C85" s="26" t="s">
        <v>199</v>
      </c>
      <c r="D85" s="27" t="s">
        <v>235</v>
      </c>
      <c r="E85" s="26" t="s">
        <v>70</v>
      </c>
      <c r="F85" s="26" t="s">
        <v>201</v>
      </c>
      <c r="G85" s="26">
        <v>8</v>
      </c>
      <c r="H85" s="26"/>
      <c r="I85" s="26"/>
    </row>
    <row r="86" spans="1:9">
      <c r="A86" s="12" t="s">
        <v>236</v>
      </c>
      <c r="B86" s="26" t="s">
        <v>159</v>
      </c>
      <c r="C86" s="26" t="s">
        <v>199</v>
      </c>
      <c r="D86" s="27" t="s">
        <v>237</v>
      </c>
      <c r="E86" s="26" t="s">
        <v>70</v>
      </c>
      <c r="F86" s="26" t="s">
        <v>201</v>
      </c>
      <c r="G86" s="26">
        <v>1</v>
      </c>
      <c r="H86" s="26"/>
      <c r="I86" s="26"/>
    </row>
    <row r="87" spans="1:9">
      <c r="A87" s="12" t="s">
        <v>238</v>
      </c>
      <c r="B87" s="26" t="s">
        <v>163</v>
      </c>
      <c r="C87" s="26" t="s">
        <v>199</v>
      </c>
      <c r="D87" s="27" t="s">
        <v>239</v>
      </c>
      <c r="E87" s="26" t="s">
        <v>70</v>
      </c>
      <c r="F87" s="26" t="s">
        <v>201</v>
      </c>
      <c r="G87" s="26">
        <v>1</v>
      </c>
      <c r="H87" s="26"/>
      <c r="I87" s="26"/>
    </row>
    <row r="88" spans="1:9">
      <c r="A88" s="12" t="s">
        <v>240</v>
      </c>
      <c r="B88" s="26" t="s">
        <v>55</v>
      </c>
      <c r="C88" s="26" t="s">
        <v>199</v>
      </c>
      <c r="D88" s="27" t="s">
        <v>241</v>
      </c>
      <c r="E88" s="26" t="s">
        <v>47</v>
      </c>
      <c r="F88" s="26" t="s">
        <v>201</v>
      </c>
      <c r="G88" s="26">
        <v>1</v>
      </c>
      <c r="H88" s="26"/>
      <c r="I88" s="26"/>
    </row>
    <row r="89" spans="1:9">
      <c r="A89" s="12" t="s">
        <v>242</v>
      </c>
      <c r="B89" s="26" t="s">
        <v>167</v>
      </c>
      <c r="C89" s="26" t="s">
        <v>199</v>
      </c>
      <c r="D89" s="27" t="s">
        <v>243</v>
      </c>
      <c r="E89" s="26" t="s">
        <v>73</v>
      </c>
      <c r="F89" s="26" t="s">
        <v>201</v>
      </c>
      <c r="G89" s="26">
        <v>1</v>
      </c>
      <c r="H89" s="26"/>
      <c r="I89" s="26"/>
    </row>
    <row r="90" spans="1:9">
      <c r="A90" s="12" t="s">
        <v>244</v>
      </c>
      <c r="B90" s="26" t="s">
        <v>171</v>
      </c>
      <c r="C90" s="26" t="s">
        <v>199</v>
      </c>
      <c r="D90" s="27" t="s">
        <v>245</v>
      </c>
      <c r="E90" s="26" t="s">
        <v>73</v>
      </c>
      <c r="F90" s="26" t="s">
        <v>201</v>
      </c>
      <c r="G90" s="26">
        <v>1</v>
      </c>
      <c r="H90" s="26"/>
      <c r="I90" s="26"/>
    </row>
    <row r="91" spans="1:9">
      <c r="A91" s="12" t="s">
        <v>246</v>
      </c>
      <c r="B91" s="26" t="s">
        <v>175</v>
      </c>
      <c r="C91" s="26" t="s">
        <v>199</v>
      </c>
      <c r="D91" s="27" t="s">
        <v>247</v>
      </c>
      <c r="E91" s="26" t="s">
        <v>73</v>
      </c>
      <c r="F91" s="26" t="s">
        <v>201</v>
      </c>
      <c r="G91" s="26">
        <v>1</v>
      </c>
      <c r="H91" s="26"/>
      <c r="I91" s="26"/>
    </row>
    <row r="92" spans="1:9">
      <c r="A92" s="12" t="s">
        <v>177</v>
      </c>
      <c r="B92" s="26" t="s">
        <v>248</v>
      </c>
      <c r="C92" s="26" t="s">
        <v>199</v>
      </c>
      <c r="D92" s="27" t="s">
        <v>249</v>
      </c>
      <c r="E92" s="26" t="s">
        <v>70</v>
      </c>
      <c r="F92" s="26" t="s">
        <v>201</v>
      </c>
      <c r="G92" s="26">
        <v>1</v>
      </c>
      <c r="H92" s="26"/>
      <c r="I92" s="26"/>
    </row>
    <row r="93" spans="1:9">
      <c r="A93" s="12" t="s">
        <v>182</v>
      </c>
      <c r="B93" s="35" t="s">
        <v>250</v>
      </c>
      <c r="C93" s="26" t="s">
        <v>199</v>
      </c>
      <c r="D93" s="27" t="s">
        <v>251</v>
      </c>
      <c r="E93" s="26" t="s">
        <v>70</v>
      </c>
      <c r="F93" s="26" t="s">
        <v>201</v>
      </c>
      <c r="G93" s="26">
        <v>1</v>
      </c>
      <c r="H93" s="26"/>
      <c r="I93" s="26"/>
    </row>
  </sheetData>
  <mergeCells count="4">
    <mergeCell ref="C2:D2"/>
    <mergeCell ref="C18:E18"/>
    <mergeCell ref="C35:I35"/>
    <mergeCell ref="C66:I6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2023-06-28T16:12:12Z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  <property fmtid="{D5CDD505-2E9C-101B-9397-08002B2CF9AE}" pid="3" name="ICV">
    <vt:lpwstr>EF25CF6B4CFA47E6A44114A06B5DBD71_12</vt:lpwstr>
  </property>
  <property fmtid="{D5CDD505-2E9C-101B-9397-08002B2CF9AE}" pid="4" name="KSOProductBuildVer">
    <vt:lpwstr>2052-11.1.0.14309</vt:lpwstr>
  </property>
</Properties>
</file>